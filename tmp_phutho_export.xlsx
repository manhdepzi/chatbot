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HVAC" sheetId="1" state="visible" r:id="rId1"/>
    <sheet name="báo giá" sheetId="2" state="visible" r:id="rId2"/>
  </sheets>
  <definedNames>
    <definedName name="_xlnm.Print_Area" localSheetId="0">'HVAC'!$A$1:$M$189</definedName>
    <definedName name="_xlnm._FilterDatabase" localSheetId="1" hidden="1">'báo giá'!$A$22:$AA$219</definedName>
  </definedNames>
  <calcPr calcId="162913" fullCalcOnLoad="1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"/>
    <numFmt numFmtId="166" formatCode="_-* #,##0.00\ _₫_-;\-* #,##0.00\ _₫_-;_-* &quot;-&quot;??\ _₫_-;_-@_-"/>
    <numFmt numFmtId="167" formatCode="_-* #,##0_-;\-* #,##0_-;_-* &quot;-&quot;??_-;_-@_-"/>
    <numFmt numFmtId="168" formatCode="_-* #,##0\ _₫_-;\-* #,##0\ _₫_-;_-* &quot;-&quot;??\ _₫_-;_-@_-"/>
    <numFmt numFmtId="169" formatCode="_(* #,##0.0_);_(* \(#,##0.0\);_(* &quot;-&quot;??_);_(@_)"/>
    <numFmt numFmtId="170" formatCode="_-* #,##0.0_-;\-* #,##0.0_-;_-* &quot;-&quot;??_-;_-@_-"/>
    <numFmt numFmtId="171" formatCode="_-* #,##0.00_-;\-* #,##0.00_-;_-* &quot;-&quot;??_-;_-@_-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20"/>
    </font>
    <font>
      <name val="Times New Roman"/>
      <family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sz val="12"/>
    </font>
    <font>
      <name val="Times New Roman"/>
      <family val="1"/>
      <color indexed="9"/>
      <sz val="12"/>
    </font>
    <font>
      <name val="Arial"/>
      <family val="2"/>
      <color rgb="FF000000"/>
      <sz val="12"/>
    </font>
    <font>
      <name val="Times New Roman"/>
      <family val="1"/>
      <b val="1"/>
      <sz val="20"/>
    </font>
    <font>
      <name val="Times New Roman"/>
      <family val="1"/>
      <color rgb="FF000000"/>
      <sz val="10"/>
    </font>
    <font>
      <name val="Times New Roman"/>
      <family val="1"/>
      <color rgb="FF000000"/>
      <sz val="12"/>
    </font>
    <font>
      <name val="Times New Roman"/>
      <family val="1"/>
      <b val="1"/>
      <sz val="12"/>
    </font>
    <font>
      <name val="VNI-Aptima"/>
      <sz val="10"/>
    </font>
    <font>
      <name val="Arial"/>
      <family val="2"/>
      <sz val="10"/>
    </font>
    <font>
      <name val="Times New Roman"/>
      <family val="1"/>
      <color indexed="8"/>
      <sz val="13"/>
    </font>
    <font>
      <name val="Times New Roman"/>
      <family val="1"/>
      <color rgb="FF001A33"/>
      <sz val="12"/>
    </font>
    <font>
      <name val="Times New Roman"/>
      <family val="1"/>
      <color rgb="FFFF0000"/>
      <sz val="13"/>
    </font>
    <font>
      <name val="Times New Roman"/>
      <family val="1"/>
      <color rgb="FFFF0000"/>
      <sz val="12"/>
    </font>
    <font>
      <name val="Times New Roman"/>
      <family val="1"/>
      <i val="1"/>
      <sz val="12"/>
    </font>
    <font>
      <name val="Times New Roman"/>
      <family val="1"/>
      <b val="1"/>
      <sz val="14"/>
    </font>
    <font>
      <name val="Arial"/>
      <family val="2"/>
      <color rgb="FF000000"/>
      <sz val="14"/>
    </font>
    <font>
      <name val="Times New Roman"/>
      <family val="1"/>
      <b val="1"/>
      <i val="1"/>
      <color rgb="FFFF0000"/>
      <sz val="12"/>
    </font>
    <font>
      <name val="Times New Roman"/>
      <family val="1"/>
      <b val="1"/>
      <i val="1"/>
      <sz val="13"/>
    </font>
    <font>
      <name val="Times New Roman"/>
      <family val="1"/>
      <i val="1"/>
      <sz val="13"/>
    </font>
    <font>
      <name val="Times New Roman"/>
      <family val="1"/>
      <color theme="1"/>
      <sz val="13"/>
    </font>
    <font>
      <name val="Times New Roman"/>
      <family val="1"/>
      <sz val="13"/>
    </font>
    <font>
      <name val="Arial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b val="1"/>
      <color rgb="FF000000"/>
      <sz val="12"/>
      <u val="single"/>
    </font>
    <font>
      <name val="Times New Roman"/>
      <family val="1"/>
      <b val="1"/>
      <color rgb="FF00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color theme="1"/>
      <sz val="13"/>
    </font>
    <font>
      <name val="Times New Roman"/>
      <family val="1"/>
      <color rgb="FF000000"/>
      <sz val="13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7">
    <xf numFmtId="0" fontId="1" fillId="0" borderId="0"/>
    <xf numFmtId="43" fontId="1" fillId="0" borderId="0"/>
    <xf numFmtId="0" fontId="15" fillId="0" borderId="0"/>
    <xf numFmtId="43" fontId="16" fillId="0" borderId="0"/>
    <xf numFmtId="43" fontId="1" fillId="0" borderId="0"/>
    <xf numFmtId="0" fontId="29" fillId="0" borderId="0"/>
    <xf numFmtId="0" fontId="16" fillId="0" borderId="0"/>
  </cellStyleXfs>
  <cellXfs count="24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3" fontId="2" fillId="0" borderId="0" applyAlignment="1" pivotButton="0" quotePrefix="0" xfId="1">
      <alignment vertical="center"/>
    </xf>
    <xf numFmtId="43" fontId="2" fillId="0" borderId="0" applyAlignment="1" pivotButton="0" quotePrefix="0" xfId="1">
      <alignment vertical="center"/>
    </xf>
    <xf numFmtId="43" fontId="3" fillId="0" borderId="0" applyAlignment="1" pivotButton="0" quotePrefix="0" xfId="1">
      <alignment horizontal="center" vertical="center"/>
    </xf>
    <xf numFmtId="43" fontId="3" fillId="0" borderId="0" applyAlignment="1" pivotButton="0" quotePrefix="0" xfId="1">
      <alignment vertical="center"/>
    </xf>
    <xf numFmtId="43" fontId="2" fillId="0" borderId="0" pivotButton="0" quotePrefix="0" xfId="1"/>
    <xf numFmtId="43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3" fontId="3" fillId="0" borderId="2" applyAlignment="1" pivotButton="0" quotePrefix="0" xfId="1">
      <alignment horizontal="center" vertical="center"/>
    </xf>
    <xf numFmtId="0" fontId="3" fillId="0" borderId="2" applyAlignment="1" pivotButton="0" quotePrefix="0" xfId="0">
      <alignment vertical="center"/>
    </xf>
    <xf numFmtId="43" fontId="3" fillId="0" borderId="2" applyAlignment="1" pivotButton="0" quotePrefix="0" xfId="1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43" fontId="2" fillId="0" borderId="2" applyAlignment="1" pivotButton="0" quotePrefix="0" xfId="1">
      <alignment vertical="center"/>
    </xf>
    <xf numFmtId="0" fontId="3" fillId="0" borderId="2" applyAlignment="1" pivotButton="0" quotePrefix="0" xfId="0">
      <alignment vertical="center" wrapText="1"/>
    </xf>
    <xf numFmtId="0" fontId="2" fillId="0" borderId="2" pivotButton="0" quotePrefix="0" xfId="0"/>
    <xf numFmtId="43" fontId="2" fillId="0" borderId="2" pivotButton="0" quotePrefix="0" xfId="1"/>
    <xf numFmtId="0" fontId="3" fillId="0" borderId="2" pivotButton="0" quotePrefix="0" xfId="0"/>
    <xf numFmtId="43" fontId="3" fillId="0" borderId="2" pivotButton="0" quotePrefix="0" xfId="1"/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3" fontId="2" fillId="0" borderId="3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 wrapText="1"/>
    </xf>
    <xf numFmtId="43" fontId="2" fillId="0" borderId="5" pivotButton="0" quotePrefix="0" xfId="1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43" fontId="6" fillId="2" borderId="2" applyAlignment="1" pivotButton="0" quotePrefix="0" xfId="1">
      <alignment vertical="center"/>
    </xf>
    <xf numFmtId="0" fontId="6" fillId="2" borderId="2" applyAlignment="1" pivotButton="0" quotePrefix="0" xfId="0">
      <alignment vertical="center"/>
    </xf>
    <xf numFmtId="43" fontId="2" fillId="0" borderId="5" applyAlignment="1" pivotButton="0" quotePrefix="0" xfId="1">
      <alignment vertical="center"/>
    </xf>
    <xf numFmtId="0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center" vertical="center"/>
    </xf>
    <xf numFmtId="43" fontId="6" fillId="2" borderId="4" applyAlignment="1" pivotButton="0" quotePrefix="0" xfId="1">
      <alignment vertical="center"/>
    </xf>
    <xf numFmtId="0" fontId="6" fillId="2" borderId="4" applyAlignment="1" pivotButton="0" quotePrefix="0" xfId="0">
      <alignment vertical="center"/>
    </xf>
    <xf numFmtId="43" fontId="4" fillId="3" borderId="1" applyAlignment="1" pivotButton="0" quotePrefix="0" xfId="1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8" fillId="0" borderId="7" applyAlignment="1" pivotButton="0" quotePrefix="0" xfId="0">
      <alignment horizontal="center" vertical="center"/>
    </xf>
    <xf numFmtId="4" fontId="8" fillId="4" borderId="7" applyAlignment="1" pivotButton="0" quotePrefix="0" xfId="0">
      <alignment horizontal="right"/>
    </xf>
    <xf numFmtId="164" fontId="8" fillId="0" borderId="7" applyAlignment="1" pivotButton="0" quotePrefix="0" xfId="1">
      <alignment horizontal="center"/>
    </xf>
    <xf numFmtId="164" fontId="9" fillId="0" borderId="8" applyAlignment="1" pivotButton="0" quotePrefix="0" xfId="1">
      <alignment horizontal="left"/>
    </xf>
    <xf numFmtId="0" fontId="10" fillId="0" borderId="0" pivotButton="0" quotePrefix="0" xfId="0"/>
    <xf numFmtId="0" fontId="8" fillId="0" borderId="9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4" fontId="8" fillId="4" borderId="0" applyAlignment="1" pivotButton="0" quotePrefix="0" xfId="0">
      <alignment horizontal="right"/>
    </xf>
    <xf numFmtId="164" fontId="8" fillId="0" borderId="0" applyAlignment="1" pivotButton="0" quotePrefix="0" xfId="1">
      <alignment horizontal="center"/>
    </xf>
    <xf numFmtId="164" fontId="9" fillId="0" borderId="10" applyAlignment="1" pivotButton="0" quotePrefix="0" xfId="1">
      <alignment horizontal="left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1" applyAlignment="1" pivotButton="0" quotePrefix="0" xfId="0">
      <alignment vertical="center"/>
    </xf>
    <xf numFmtId="0" fontId="13" fillId="5" borderId="1" applyAlignment="1" pivotButton="0" quotePrefix="0" xfId="2">
      <alignment horizontal="center" vertical="center"/>
    </xf>
    <xf numFmtId="0" fontId="13" fillId="0" borderId="1" pivotButton="0" quotePrefix="0" xfId="0"/>
    <xf numFmtId="165" fontId="13" fillId="0" borderId="1" pivotButton="0" quotePrefix="0" xfId="0"/>
    <xf numFmtId="2" fontId="13" fillId="0" borderId="1" pivotButton="0" quotePrefix="0" xfId="0"/>
    <xf numFmtId="0" fontId="13" fillId="4" borderId="1" applyAlignment="1" pivotButton="0" quotePrefix="0" xfId="2">
      <alignment horizontal="center" vertical="center"/>
    </xf>
    <xf numFmtId="166" fontId="17" fillId="4" borderId="1" applyAlignment="1" pivotButton="0" quotePrefix="0" xfId="3">
      <alignment horizontal="center" vertical="center" wrapText="1"/>
    </xf>
    <xf numFmtId="164" fontId="13" fillId="4" borderId="1" applyAlignment="1" pivotButton="0" quotePrefix="0" xfId="3">
      <alignment horizontal="center" vertical="center"/>
    </xf>
    <xf numFmtId="0" fontId="8" fillId="0" borderId="2" pivotButton="0" quotePrefix="0" xfId="0"/>
    <xf numFmtId="0" fontId="18" fillId="0" borderId="19" pivotButton="0" quotePrefix="1" xfId="0"/>
    <xf numFmtId="3" fontId="6" fillId="4" borderId="19" applyAlignment="1" pivotButton="0" quotePrefix="1" xfId="0">
      <alignment horizontal="left" vertical="center"/>
    </xf>
    <xf numFmtId="0" fontId="8" fillId="4" borderId="2" applyAlignment="1" pivotButton="0" quotePrefix="0" xfId="0">
      <alignment vertical="center"/>
    </xf>
    <xf numFmtId="14" fontId="19" fillId="0" borderId="17" applyAlignment="1" pivotButton="0" quotePrefix="0" xfId="0">
      <alignment horizontal="left" vertical="center" wrapText="1"/>
    </xf>
    <xf numFmtId="0" fontId="6" fillId="4" borderId="15" applyAlignment="1" pivotButton="0" quotePrefix="0" xfId="0">
      <alignment vertical="center"/>
    </xf>
    <xf numFmtId="0" fontId="6" fillId="4" borderId="16" applyAlignment="1" pivotButton="0" quotePrefix="0" xfId="0">
      <alignment vertical="center"/>
    </xf>
    <xf numFmtId="0" fontId="6" fillId="4" borderId="18" applyAlignment="1" pivotButton="0" quotePrefix="0" xfId="0">
      <alignment vertical="center"/>
    </xf>
    <xf numFmtId="14" fontId="19" fillId="0" borderId="17" applyAlignment="1" pivotButton="0" quotePrefix="1" xfId="0">
      <alignment horizontal="left" vertical="center" wrapText="1"/>
    </xf>
    <xf numFmtId="0" fontId="8" fillId="0" borderId="2" applyAlignment="1" pivotButton="0" quotePrefix="0" xfId="0">
      <alignment vertical="center"/>
    </xf>
    <xf numFmtId="0" fontId="6" fillId="4" borderId="19" applyAlignment="1" pivotButton="0" quotePrefix="0" xfId="0">
      <alignment horizontal="left" vertical="center"/>
    </xf>
    <xf numFmtId="0" fontId="8" fillId="4" borderId="21" applyAlignment="1" pivotButton="0" quotePrefix="0" xfId="0">
      <alignment vertical="center"/>
    </xf>
    <xf numFmtId="0" fontId="8" fillId="4" borderId="22" applyAlignment="1" pivotButton="0" quotePrefix="0" xfId="0">
      <alignment vertical="center"/>
    </xf>
    <xf numFmtId="0" fontId="8" fillId="4" borderId="2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6" fillId="4" borderId="24" applyAlignment="1" pivotButton="0" quotePrefix="0" xfId="0">
      <alignment horizontal="left" vertical="center"/>
    </xf>
    <xf numFmtId="164" fontId="13" fillId="6" borderId="0" pivotButton="0" quotePrefix="0" xfId="0"/>
    <xf numFmtId="0" fontId="13" fillId="6" borderId="0" pivotButton="0" quotePrefix="0" xfId="0"/>
    <xf numFmtId="0" fontId="10" fillId="0" borderId="0" applyAlignment="1" pivotButton="0" quotePrefix="0" xfId="0">
      <alignment horizontal="left"/>
    </xf>
    <xf numFmtId="37" fontId="25" fillId="7" borderId="34" applyAlignment="1" pivotButton="0" quotePrefix="0" xfId="0">
      <alignment horizontal="center" vertical="center" wrapText="1"/>
    </xf>
    <xf numFmtId="0" fontId="13" fillId="5" borderId="37" applyAlignment="1" pivotButton="0" quotePrefix="0" xfId="2">
      <alignment horizontal="center" vertical="center"/>
    </xf>
    <xf numFmtId="0" fontId="13" fillId="5" borderId="38" applyAlignment="1" pivotButton="0" quotePrefix="0" xfId="2">
      <alignment horizontal="center" vertical="center"/>
    </xf>
    <xf numFmtId="0" fontId="13" fillId="5" borderId="39" applyAlignment="1" pivotButton="0" quotePrefix="0" xfId="2">
      <alignment horizontal="center" vertical="center"/>
    </xf>
    <xf numFmtId="0" fontId="13" fillId="5" borderId="40" applyAlignment="1" pivotButton="0" quotePrefix="0" xfId="2">
      <alignment horizontal="center" vertical="center"/>
    </xf>
    <xf numFmtId="0" fontId="13" fillId="5" borderId="41" applyAlignment="1" pivotButton="0" quotePrefix="0" xfId="2">
      <alignment horizontal="center" vertical="center"/>
    </xf>
    <xf numFmtId="37" fontId="25" fillId="7" borderId="1" applyAlignment="1" pivotButton="0" quotePrefix="0" xfId="0">
      <alignment horizontal="center" vertical="center" wrapText="1"/>
    </xf>
    <xf numFmtId="164" fontId="24" fillId="4" borderId="44" applyAlignment="1" pivotButton="0" quotePrefix="0" xfId="4">
      <alignment horizontal="left" vertical="center" wrapText="1"/>
    </xf>
    <xf numFmtId="0" fontId="13" fillId="4" borderId="44" applyAlignment="1" pivotButton="0" quotePrefix="0" xfId="2">
      <alignment horizontal="center" vertical="center"/>
    </xf>
    <xf numFmtId="166" fontId="17" fillId="4" borderId="45" applyAlignment="1" pivotButton="0" quotePrefix="0" xfId="3">
      <alignment horizontal="center" vertical="center" wrapText="1"/>
    </xf>
    <xf numFmtId="43" fontId="13" fillId="4" borderId="1" applyAlignment="1" pivotButton="0" quotePrefix="0" xfId="3">
      <alignment horizontal="center" vertical="center"/>
    </xf>
    <xf numFmtId="0" fontId="27" fillId="0" borderId="42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 wrapText="1"/>
    </xf>
    <xf numFmtId="0" fontId="28" fillId="4" borderId="1" applyAlignment="1" pivotButton="0" quotePrefix="1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167" fontId="27" fillId="4" borderId="1" applyAlignment="1" pivotButton="0" quotePrefix="0" xfId="1">
      <alignment vertical="center" wrapText="1"/>
    </xf>
    <xf numFmtId="37" fontId="28" fillId="4" borderId="1" applyAlignment="1" pivotButton="0" quotePrefix="0" xfId="0">
      <alignment horizontal="center" vertical="center"/>
    </xf>
    <xf numFmtId="0" fontId="19" fillId="4" borderId="43" applyAlignment="1" pivotButton="0" quotePrefix="0" xfId="0">
      <alignment horizontal="center" vertical="center" wrapText="1"/>
    </xf>
    <xf numFmtId="164" fontId="24" fillId="4" borderId="1" applyAlignment="1" pivotButton="0" quotePrefix="0" xfId="4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30" fillId="7" borderId="42" applyAlignment="1" pivotButton="0" quotePrefix="0" xfId="5">
      <alignment horizontal="center" vertical="center" wrapText="1"/>
    </xf>
    <xf numFmtId="0" fontId="30" fillId="7" borderId="1" applyAlignment="1" pivotButton="0" quotePrefix="0" xfId="5">
      <alignment horizontal="center" vertical="center" wrapText="1"/>
    </xf>
    <xf numFmtId="168" fontId="30" fillId="7" borderId="1" applyAlignment="1" pivotButton="0" quotePrefix="0" xfId="1">
      <alignment horizontal="right" vertical="center"/>
    </xf>
    <xf numFmtId="168" fontId="30" fillId="7" borderId="43" applyAlignment="1" pivotButton="0" quotePrefix="0" xfId="1">
      <alignment horizontal="right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30" fillId="7" borderId="1" applyAlignment="1" pivotButton="0" quotePrefix="0" xfId="5">
      <alignment horizontal="center" vertical="center"/>
    </xf>
    <xf numFmtId="0" fontId="30" fillId="7" borderId="46" applyAlignment="1" pivotButton="0" quotePrefix="0" xfId="5">
      <alignment horizontal="center" vertical="center" wrapText="1"/>
    </xf>
    <xf numFmtId="0" fontId="30" fillId="7" borderId="1" applyAlignment="1" pivotButton="0" quotePrefix="0" xfId="5">
      <alignment vertical="center"/>
    </xf>
    <xf numFmtId="0" fontId="30" fillId="7" borderId="45" applyAlignment="1" pivotButton="0" quotePrefix="0" xfId="5">
      <alignment horizontal="center" vertical="center"/>
    </xf>
    <xf numFmtId="168" fontId="30" fillId="7" borderId="45" applyAlignment="1" pivotButton="0" quotePrefix="0" xfId="1">
      <alignment horizontal="right" vertical="center"/>
    </xf>
    <xf numFmtId="168" fontId="30" fillId="7" borderId="47" applyAlignment="1" pivotButton="0" quotePrefix="0" xfId="1">
      <alignment horizontal="right" vertical="center"/>
    </xf>
    <xf numFmtId="0" fontId="30" fillId="7" borderId="51" applyAlignment="1" pivotButton="0" quotePrefix="0" xfId="5">
      <alignment horizontal="center" vertical="center" wrapText="1"/>
    </xf>
    <xf numFmtId="0" fontId="30" fillId="7" borderId="52" applyAlignment="1" pivotButton="0" quotePrefix="0" xfId="5">
      <alignment horizontal="center" vertical="center"/>
    </xf>
    <xf numFmtId="168" fontId="30" fillId="7" borderId="52" applyAlignment="1" pivotButton="0" quotePrefix="0" xfId="1">
      <alignment horizontal="right" vertical="center"/>
    </xf>
    <xf numFmtId="168" fontId="30" fillId="7" borderId="53" applyAlignment="1" pivotButton="0" quotePrefix="0" xfId="1">
      <alignment horizontal="right" vertical="center"/>
    </xf>
    <xf numFmtId="0" fontId="31" fillId="0" borderId="0" pivotButton="0" quotePrefix="0" xfId="0"/>
    <xf numFmtId="0" fontId="3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8" fillId="0" borderId="0" applyAlignment="1" pivotButton="0" quotePrefix="0" xfId="6">
      <alignment horizontal="left"/>
    </xf>
    <xf numFmtId="0" fontId="8" fillId="0" borderId="0" applyAlignment="1" pivotButton="0" quotePrefix="0" xfId="6">
      <alignment horizontal="center"/>
    </xf>
    <xf numFmtId="169" fontId="8" fillId="0" borderId="0" applyAlignment="1" pivotButton="0" quotePrefix="0" xfId="1">
      <alignment horizontal="center"/>
    </xf>
    <xf numFmtId="164" fontId="8" fillId="0" borderId="0" applyAlignment="1" pivotButton="0" quotePrefix="0" xfId="6">
      <alignment horizontal="center"/>
    </xf>
    <xf numFmtId="0" fontId="8" fillId="0" borderId="0" applyAlignment="1" pivotButton="0" quotePrefix="0" xfId="6">
      <alignment horizontal="center" vertical="center"/>
    </xf>
    <xf numFmtId="0" fontId="20" fillId="0" borderId="0" applyAlignment="1" pivotButton="0" quotePrefix="0" xfId="6">
      <alignment horizontal="left"/>
    </xf>
    <xf numFmtId="0" fontId="20" fillId="0" borderId="0" applyAlignment="1" pivotButton="0" quotePrefix="0" xfId="6">
      <alignment horizontal="center" vertical="center"/>
    </xf>
    <xf numFmtId="0" fontId="14" fillId="0" borderId="0" pivotButton="0" quotePrefix="0" xfId="6"/>
    <xf numFmtId="0" fontId="14" fillId="0" borderId="0" applyAlignment="1" pivotButton="0" quotePrefix="0" xfId="6">
      <alignment horizontal="center"/>
    </xf>
    <xf numFmtId="0" fontId="14" fillId="0" borderId="0" applyAlignment="1" pivotButton="0" quotePrefix="0" xfId="6">
      <alignment horizontal="left"/>
    </xf>
    <xf numFmtId="0" fontId="14" fillId="0" borderId="0" applyAlignment="1" pivotButton="0" quotePrefix="0" xfId="6">
      <alignment horizontal="center" vertical="center"/>
    </xf>
    <xf numFmtId="0" fontId="21" fillId="0" borderId="0" pivotButton="0" quotePrefix="0" xfId="6"/>
    <xf numFmtId="0" fontId="21" fillId="0" borderId="0" applyAlignment="1" pivotButton="0" quotePrefix="0" xfId="6">
      <alignment horizontal="center"/>
    </xf>
    <xf numFmtId="0" fontId="14" fillId="0" borderId="0" applyAlignment="1" pivotButton="0" quotePrefix="0" xfId="0">
      <alignment horizontal="center" vertical="center"/>
    </xf>
    <xf numFmtId="0" fontId="33" fillId="0" borderId="0" applyAlignment="1" pivotButton="0" quotePrefix="0" xfId="6">
      <alignment horizontal="center"/>
    </xf>
    <xf numFmtId="0" fontId="33" fillId="0" borderId="0" applyAlignment="1" pivotButton="0" quotePrefix="0" xfId="6">
      <alignment horizontal="center" vertical="center"/>
    </xf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34" fillId="0" borderId="42" applyAlignment="1" pivotButton="0" quotePrefix="0" xfId="0">
      <alignment horizontal="center" vertical="center"/>
    </xf>
    <xf numFmtId="0" fontId="34" fillId="4" borderId="1" applyAlignment="1" pivotButton="0" quotePrefix="0" xfId="0">
      <alignment horizontal="left" vertical="center" wrapText="1"/>
    </xf>
    <xf numFmtId="170" fontId="10" fillId="0" borderId="0" pivotButton="0" quotePrefix="0" xfId="0"/>
    <xf numFmtId="0" fontId="35" fillId="0" borderId="1" applyAlignment="1" pivotButton="0" quotePrefix="0" xfId="0">
      <alignment horizontal="center" vertical="center"/>
    </xf>
    <xf numFmtId="170" fontId="27" fillId="4" borderId="1" applyAlignment="1" pivotButton="0" quotePrefix="0" xfId="1">
      <alignment vertical="center" wrapText="1"/>
    </xf>
    <xf numFmtId="171" fontId="27" fillId="4" borderId="1" applyAlignment="1" pivotButton="0" quotePrefix="0" xfId="1">
      <alignment vertical="center" wrapText="1"/>
    </xf>
    <xf numFmtId="43" fontId="4" fillId="3" borderId="1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4" borderId="14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11" fillId="0" borderId="9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4" fillId="4" borderId="11" applyAlignment="1" pivotButton="0" quotePrefix="0" xfId="0">
      <alignment vertical="center" wrapText="1"/>
    </xf>
    <xf numFmtId="0" fontId="4" fillId="4" borderId="12" applyAlignment="1" pivotButton="0" quotePrefix="0" xfId="0">
      <alignment vertical="center" wrapText="1"/>
    </xf>
    <xf numFmtId="0" fontId="14" fillId="0" borderId="12" applyAlignment="1" pivotButton="0" quotePrefix="0" xfId="0">
      <alignment vertical="center"/>
    </xf>
    <xf numFmtId="0" fontId="14" fillId="0" borderId="13" applyAlignment="1" pivotButton="0" quotePrefix="0" xfId="0">
      <alignment vertical="center"/>
    </xf>
    <xf numFmtId="0" fontId="8" fillId="0" borderId="15" applyAlignment="1" pivotButton="0" quotePrefix="0" xfId="0">
      <alignment vertical="center" wrapText="1"/>
    </xf>
    <xf numFmtId="0" fontId="8" fillId="0" borderId="16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8" fillId="4" borderId="15" applyAlignment="1" pivotButton="0" quotePrefix="0" xfId="0">
      <alignment horizontal="left"/>
    </xf>
    <xf numFmtId="0" fontId="8" fillId="4" borderId="16" applyAlignment="1" pivotButton="0" quotePrefix="0" xfId="0">
      <alignment horizontal="left"/>
    </xf>
    <xf numFmtId="0" fontId="8" fillId="4" borderId="18" applyAlignment="1" pivotButton="0" quotePrefix="0" xfId="0">
      <alignment horizontal="left"/>
    </xf>
    <xf numFmtId="0" fontId="8" fillId="4" borderId="15" applyAlignment="1" pivotButton="0" quotePrefix="1" xfId="0">
      <alignment horizontal="left"/>
    </xf>
    <xf numFmtId="0" fontId="8" fillId="4" borderId="16" applyAlignment="1" pivotButton="0" quotePrefix="1" xfId="0">
      <alignment horizontal="left"/>
    </xf>
    <xf numFmtId="0" fontId="8" fillId="4" borderId="18" applyAlignment="1" pivotButton="0" quotePrefix="1" xfId="0">
      <alignment horizontal="left"/>
    </xf>
    <xf numFmtId="0" fontId="4" fillId="4" borderId="14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15" applyAlignment="1" pivotButton="0" quotePrefix="0" xfId="0">
      <alignment horizontal="left" vertical="center"/>
    </xf>
    <xf numFmtId="0" fontId="4" fillId="4" borderId="16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6" fillId="4" borderId="20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21" fillId="0" borderId="9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vertical="center" wrapText="1"/>
    </xf>
    <xf numFmtId="0" fontId="21" fillId="0" borderId="25" applyAlignment="1" pivotButton="0" quotePrefix="0" xfId="0">
      <alignment horizontal="left" vertical="center" wrapText="1"/>
    </xf>
    <xf numFmtId="0" fontId="21" fillId="0" borderId="26" applyAlignment="1" pivotButton="0" quotePrefix="0" xfId="0">
      <alignment horizontal="left" vertical="center" wrapText="1"/>
    </xf>
    <xf numFmtId="0" fontId="21" fillId="0" borderId="27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13" fillId="5" borderId="29" applyAlignment="1" pivotButton="0" quotePrefix="0" xfId="2">
      <alignment horizontal="center" vertical="center"/>
    </xf>
    <xf numFmtId="0" fontId="13" fillId="5" borderId="30" applyAlignment="1" pivotButton="0" quotePrefix="0" xfId="2">
      <alignment horizontal="center" vertical="center"/>
    </xf>
    <xf numFmtId="0" fontId="13" fillId="5" borderId="31" applyAlignment="1" pivotButton="0" quotePrefix="0" xfId="2">
      <alignment horizontal="center"/>
    </xf>
    <xf numFmtId="0" fontId="13" fillId="5" borderId="32" applyAlignment="1" pivotButton="0" quotePrefix="0" xfId="2">
      <alignment horizontal="center"/>
    </xf>
    <xf numFmtId="0" fontId="25" fillId="7" borderId="33" applyAlignment="1" pivotButton="0" quotePrefix="0" xfId="0">
      <alignment horizontal="center" vertical="center" wrapText="1"/>
    </xf>
    <xf numFmtId="0" fontId="26" fillId="7" borderId="42" pivotButton="0" quotePrefix="0" xfId="0"/>
    <xf numFmtId="0" fontId="25" fillId="7" borderId="34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/>
    </xf>
    <xf numFmtId="0" fontId="26" fillId="7" borderId="1" pivotButton="0" quotePrefix="0" xfId="0"/>
    <xf numFmtId="37" fontId="25" fillId="7" borderId="34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/>
    </xf>
    <xf numFmtId="37" fontId="25" fillId="7" borderId="35" applyAlignment="1" pivotButton="0" quotePrefix="0" xfId="0">
      <alignment horizontal="center" vertical="center" wrapText="1"/>
    </xf>
    <xf numFmtId="0" fontId="26" fillId="7" borderId="43" applyAlignment="1" pivotButton="0" quotePrefix="0" xfId="0">
      <alignment horizontal="center" vertical="center"/>
    </xf>
    <xf numFmtId="164" fontId="24" fillId="5" borderId="28" applyAlignment="1" pivotButton="0" quotePrefix="0" xfId="4">
      <alignment horizontal="left" vertical="center"/>
    </xf>
    <xf numFmtId="164" fontId="24" fillId="5" borderId="36" applyAlignment="1" pivotButton="0" quotePrefix="0" xfId="4">
      <alignment horizontal="left" vertical="center"/>
    </xf>
    <xf numFmtId="0" fontId="30" fillId="7" borderId="1" applyAlignment="1" pivotButton="0" quotePrefix="0" xfId="5">
      <alignment horizontal="center" vertical="center" wrapText="1"/>
    </xf>
    <xf numFmtId="0" fontId="30" fillId="7" borderId="1" applyAlignment="1" pivotButton="0" quotePrefix="0" xfId="5">
      <alignment horizontal="center" vertical="center"/>
    </xf>
    <xf numFmtId="0" fontId="30" fillId="7" borderId="48" applyAlignment="1" pivotButton="0" quotePrefix="0" xfId="5">
      <alignment horizontal="center" vertical="center"/>
    </xf>
    <xf numFmtId="0" fontId="30" fillId="7" borderId="49" applyAlignment="1" pivotButton="0" quotePrefix="0" xfId="5">
      <alignment horizontal="center" vertical="center"/>
    </xf>
    <xf numFmtId="0" fontId="30" fillId="7" borderId="50" applyAlignment="1" pivotButton="0" quotePrefix="0" xfId="5">
      <alignment horizontal="center" vertical="center"/>
    </xf>
    <xf numFmtId="0" fontId="30" fillId="7" borderId="52" applyAlignment="1" pivotButton="0" quotePrefix="0" xfId="5">
      <alignment horizontal="center" vertical="center"/>
    </xf>
    <xf numFmtId="0" fontId="0" fillId="0" borderId="50" pivotButton="0" quotePrefix="0" xfId="0"/>
    <xf numFmtId="0" fontId="0" fillId="0" borderId="55" pivotButton="0" quotePrefix="0" xfId="0"/>
    <xf numFmtId="0" fontId="11" fillId="0" borderId="6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66" pivotButton="0" quotePrefix="0" xfId="0"/>
    <xf numFmtId="0" fontId="8" fillId="0" borderId="71" applyAlignment="1" pivotButton="0" quotePrefix="0" xfId="0">
      <alignment vertical="center" wrapText="1"/>
    </xf>
    <xf numFmtId="0" fontId="0" fillId="0" borderId="16" pivotButton="0" quotePrefix="0" xfId="0"/>
    <xf numFmtId="0" fontId="0" fillId="0" borderId="74" pivotButton="0" quotePrefix="0" xfId="0"/>
    <xf numFmtId="0" fontId="8" fillId="4" borderId="75" applyAlignment="1" pivotButton="0" quotePrefix="0" xfId="0">
      <alignment horizontal="left"/>
    </xf>
    <xf numFmtId="0" fontId="0" fillId="0" borderId="18" pivotButton="0" quotePrefix="0" xfId="0"/>
    <xf numFmtId="0" fontId="8" fillId="4" borderId="75" applyAlignment="1" pivotButton="0" quotePrefix="1" xfId="0">
      <alignment horizontal="left"/>
    </xf>
    <xf numFmtId="0" fontId="4" fillId="4" borderId="75" applyAlignment="1" pivotButton="0" quotePrefix="0" xfId="0">
      <alignment horizontal="left" vertical="center"/>
    </xf>
    <xf numFmtId="0" fontId="0" fillId="0" borderId="23" pivotButton="0" quotePrefix="0" xfId="0"/>
    <xf numFmtId="0" fontId="21" fillId="0" borderId="67" applyAlignment="1" pivotButton="0" quotePrefix="0" xfId="0">
      <alignment horizontal="left" vertical="center" wrapText="1"/>
    </xf>
    <xf numFmtId="0" fontId="21" fillId="0" borderId="68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49" pivotButton="0" quotePrefix="0" xfId="0"/>
    <xf numFmtId="0" fontId="0" fillId="0" borderId="58" pivotButton="0" quotePrefix="0" xfId="0"/>
    <xf numFmtId="0" fontId="0" fillId="0" borderId="59" pivotButton="0" quotePrefix="0" xfId="0"/>
  </cellXfs>
  <cellStyles count="7">
    <cellStyle name="Normal" xfId="0" builtinId="0"/>
    <cellStyle name="Comma" xfId="1" builtinId="3"/>
    <cellStyle name="Normal 3" xfId="2"/>
    <cellStyle name="Comma 3" xfId="3"/>
    <cellStyle name="Comma 16 3" xfId="4"/>
    <cellStyle name="Normal 5" xfId="5"/>
    <cellStyle name="Normal 2 3 2" xfId="6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333375</colOff>
      <row>0</row>
      <rowOff>104775</rowOff>
    </from>
    <to>
      <col>8</col>
      <colOff>1724024</colOff>
      <row>5</row>
      <rowOff>171450</rowOff>
    </to>
    <pic>
      <nvPicPr>
        <cNvPr id="7" name="Picture 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3375" y="104775"/>
          <a:ext cx="13658849" cy="10763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"/>
  <sheetViews>
    <sheetView view="pageBreakPreview" topLeftCell="A5" zoomScale="85" zoomScaleNormal="85" zoomScaleSheetLayoutView="85" workbookViewId="0">
      <pane ySplit="1725" topLeftCell="A76" activePane="bottomLeft" state="split"/>
      <selection activeCell="H5" sqref="H1:L1048576"/>
      <selection pane="bottomLeft" activeCell="F8" sqref="F8:G189"/>
    </sheetView>
  </sheetViews>
  <sheetFormatPr baseColWidth="8" defaultRowHeight="15"/>
  <cols>
    <col width="5.7109375" customWidth="1" style="2" min="1" max="1"/>
    <col width="40.7109375" customWidth="1" style="29" min="2" max="2"/>
    <col width="18.85546875" customWidth="1" style="29" min="3" max="5"/>
    <col width="8.7109375" customWidth="1" style="2" min="6" max="6"/>
    <col width="16.7109375" customWidth="1" style="5" min="7" max="12"/>
    <col width="15.7109375" customWidth="1" style="2" min="13" max="13"/>
    <col width="9.140625" customWidth="1" style="2" min="14" max="16384"/>
  </cols>
  <sheetData>
    <row r="1" ht="35.25" customHeight="1">
      <c r="A1" s="160" t="inlineStr">
        <is>
          <t>BẢNG CHÀO GIÁ CHI TIẾT</t>
        </is>
      </c>
      <c r="N1" s="27" t="n"/>
      <c r="O1" s="27" t="n"/>
      <c r="P1" s="27" t="n"/>
      <c r="Q1" s="27" t="n"/>
      <c r="R1" s="27" t="n"/>
      <c r="S1" s="27" t="n"/>
      <c r="T1" s="27" t="n"/>
    </row>
    <row r="2" ht="20.25" customHeight="1">
      <c r="A2" s="158" t="inlineStr">
        <is>
          <t>Dự án: Khu nhà ở hỗn hợp tại khu đất thu hồi của trường cao đẳng nghề Phú Thọ</t>
        </is>
      </c>
      <c r="N2" s="160" t="n"/>
    </row>
    <row r="3" ht="20.25" customHeight="1">
      <c r="A3" s="158" t="inlineStr">
        <is>
          <t>Địa điểm: Số 78 đường Trần Nguyên Hãn, phường Thanh Miếu, tỉnh Phú Thọ</t>
        </is>
      </c>
      <c r="N3" s="160" t="n"/>
    </row>
    <row r="4" ht="20.25" customHeight="1">
      <c r="A4" s="158" t="inlineStr">
        <is>
          <t>Hệ thống: Điều hòa không khí và thông gió</t>
        </is>
      </c>
      <c r="N4" s="160" t="n"/>
    </row>
    <row r="5">
      <c r="A5" s="1" t="n"/>
      <c r="B5" s="1" t="n"/>
      <c r="C5" s="1" t="n"/>
      <c r="D5" s="1" t="n"/>
      <c r="E5" s="1" t="n"/>
      <c r="F5" s="1" t="n"/>
    </row>
    <row r="6" ht="36" customHeight="1">
      <c r="A6" s="159" t="inlineStr">
        <is>
          <t>STT</t>
        </is>
      </c>
      <c r="B6" s="157" t="inlineStr">
        <is>
          <t>Mô tả chi tiết</t>
        </is>
      </c>
      <c r="C6" s="157" t="inlineStr">
        <is>
          <t>Mã hiệu</t>
        </is>
      </c>
      <c r="D6" s="157" t="inlineStr">
        <is>
          <t>Hãng sản xuất</t>
        </is>
      </c>
      <c r="E6" s="157" t="inlineStr">
        <is>
          <t>Xuất xứ</t>
        </is>
      </c>
      <c r="F6" s="157" t="inlineStr">
        <is>
          <t>Đơn vị</t>
        </is>
      </c>
      <c r="G6" s="157" t="inlineStr">
        <is>
          <t>Số lượng</t>
        </is>
      </c>
      <c r="H6" s="157" t="inlineStr">
        <is>
          <t>Đơn giá</t>
        </is>
      </c>
      <c r="I6" s="215" t="n"/>
      <c r="J6" s="157" t="inlineStr">
        <is>
          <t>Thành tiền</t>
        </is>
      </c>
      <c r="K6" s="215" t="n"/>
      <c r="L6" s="157" t="inlineStr">
        <is>
          <t>Tổng cộng</t>
        </is>
      </c>
      <c r="M6" s="157" t="inlineStr">
        <is>
          <t>Ghi chú</t>
        </is>
      </c>
    </row>
    <row r="7" ht="36" customHeight="1">
      <c r="A7" s="216" t="n"/>
      <c r="B7" s="216" t="n"/>
      <c r="C7" s="216" t="n"/>
      <c r="D7" s="216" t="n"/>
      <c r="E7" s="216" t="n"/>
      <c r="F7" s="216" t="n"/>
      <c r="G7" s="216" t="n"/>
      <c r="H7" s="157" t="inlineStr">
        <is>
          <t>Vật tư</t>
        </is>
      </c>
      <c r="I7" s="157" t="inlineStr">
        <is>
          <t>Nhân công</t>
        </is>
      </c>
      <c r="J7" s="157" t="inlineStr">
        <is>
          <t>Vật tư</t>
        </is>
      </c>
      <c r="K7" s="157" t="inlineStr">
        <is>
          <t>Nhân công</t>
        </is>
      </c>
      <c r="L7" s="216" t="n"/>
      <c r="M7" s="216" t="n"/>
    </row>
    <row r="8" ht="27" customHeight="1">
      <c r="A8" s="39" t="inlineStr">
        <is>
          <t>A</t>
        </is>
      </c>
      <c r="B8" s="40" t="inlineStr">
        <is>
          <t>KHU VỰC CHUNG</t>
        </is>
      </c>
      <c r="C8" s="40" t="n"/>
      <c r="D8" s="40" t="n"/>
      <c r="E8" s="40" t="n"/>
      <c r="F8" s="41" t="n"/>
      <c r="G8" s="42" t="n"/>
      <c r="H8" s="42" t="n"/>
      <c r="I8" s="42" t="n"/>
      <c r="J8" s="42" t="n"/>
      <c r="K8" s="42" t="n"/>
      <c r="L8" s="42" t="n"/>
      <c r="M8" s="43" t="n"/>
    </row>
    <row r="9" ht="25.5" customFormat="1" customHeight="1" s="3">
      <c r="A9" s="10" t="inlineStr">
        <is>
          <t>I</t>
        </is>
      </c>
      <c r="B9" s="18" t="inlineStr">
        <is>
          <t>Điều hòa cục bộ treo tường</t>
        </is>
      </c>
      <c r="C9" s="18" t="n"/>
      <c r="D9" s="18" t="n"/>
      <c r="E9" s="18" t="n"/>
      <c r="F9" s="10" t="n"/>
      <c r="G9" s="14" t="n"/>
      <c r="H9" s="14" t="n"/>
      <c r="I9" s="14" t="n"/>
      <c r="J9" s="14" t="n"/>
      <c r="K9" s="14" t="n"/>
      <c r="L9" s="14" t="n"/>
      <c r="M9" s="13" t="n"/>
    </row>
    <row r="10" ht="36.75" customHeight="1">
      <c r="A10" s="15" t="n">
        <v>1</v>
      </c>
      <c r="B10" s="16" t="inlineStr">
        <is>
          <t>Điều hòa cục bộ casette
Công suất lạnh: 10kW</t>
        </is>
      </c>
      <c r="C10" s="16" t="n"/>
      <c r="D10" s="16" t="n"/>
      <c r="E10" s="16" t="n"/>
      <c r="F10" s="15" t="inlineStr">
        <is>
          <t>Bộ</t>
        </is>
      </c>
      <c r="G10" s="17" t="n">
        <v>1</v>
      </c>
      <c r="H10" s="17" t="n"/>
      <c r="I10" s="17" t="n"/>
      <c r="J10" s="17" t="n"/>
      <c r="K10" s="17" t="n"/>
      <c r="L10" s="17" t="n"/>
      <c r="M10" s="23" t="n"/>
    </row>
    <row r="11" ht="20.25" customHeight="1">
      <c r="A11" s="15" t="n">
        <v>2</v>
      </c>
      <c r="B11" s="16" t="inlineStr">
        <is>
          <t>Giá đỡ cho dàn Dàn nóng</t>
        </is>
      </c>
      <c r="C11" s="16" t="n"/>
      <c r="D11" s="16" t="n"/>
      <c r="E11" s="16" t="n"/>
      <c r="F11" s="15" t="inlineStr">
        <is>
          <t>Bộ</t>
        </is>
      </c>
      <c r="G11" s="17" t="n">
        <v>1</v>
      </c>
      <c r="H11" s="17" t="n"/>
      <c r="I11" s="17" t="n"/>
      <c r="J11" s="17" t="n"/>
      <c r="K11" s="17" t="n"/>
      <c r="L11" s="17" t="n"/>
      <c r="M11" s="23" t="n"/>
    </row>
    <row r="12" ht="20.25" customHeight="1">
      <c r="A12" s="15" t="n">
        <v>3</v>
      </c>
      <c r="B12" s="23" t="inlineStr">
        <is>
          <t>Vật tư phụ</t>
        </is>
      </c>
      <c r="C12" s="23" t="n"/>
      <c r="D12" s="23" t="n"/>
      <c r="E12" s="23" t="n"/>
      <c r="F12" s="15" t="inlineStr">
        <is>
          <t>lô</t>
        </is>
      </c>
      <c r="G12" s="17" t="n">
        <v>1</v>
      </c>
      <c r="H12" s="17" t="n"/>
      <c r="I12" s="17" t="n"/>
      <c r="J12" s="17" t="n"/>
      <c r="K12" s="17" t="n"/>
      <c r="L12" s="17" t="n"/>
      <c r="M12" s="23" t="n"/>
    </row>
    <row r="13" ht="25.5" customFormat="1" customHeight="1" s="3">
      <c r="A13" s="10" t="inlineStr">
        <is>
          <t>II</t>
        </is>
      </c>
      <c r="B13" s="18" t="inlineStr">
        <is>
          <t>Điều hòa trung tâm VRF</t>
        </is>
      </c>
      <c r="C13" s="18" t="n"/>
      <c r="D13" s="18" t="n"/>
      <c r="E13" s="18" t="n"/>
      <c r="F13" s="10" t="n"/>
      <c r="G13" s="17" t="n">
        <v>0</v>
      </c>
      <c r="H13" s="17" t="n"/>
      <c r="I13" s="17" t="n"/>
      <c r="J13" s="17" t="n"/>
      <c r="K13" s="17" t="n"/>
      <c r="L13" s="17" t="n"/>
      <c r="M13" s="13" t="n"/>
    </row>
    <row r="14" ht="30" customHeight="1">
      <c r="A14" s="15" t="n">
        <v>1</v>
      </c>
      <c r="B14" s="28" t="inlineStr">
        <is>
          <t>Tổ hợp dàn nóng VRV/VRF 1 chiều công suất 50HP</t>
        </is>
      </c>
      <c r="C14" s="28" t="n"/>
      <c r="D14" s="28" t="n"/>
      <c r="E14" s="28" t="n"/>
      <c r="F14" s="15" t="inlineStr">
        <is>
          <t>Bộ</t>
        </is>
      </c>
      <c r="G14" s="17" t="n">
        <v>1</v>
      </c>
      <c r="H14" s="17" t="n"/>
      <c r="I14" s="17" t="n"/>
      <c r="J14" s="17" t="n"/>
      <c r="K14" s="17" t="n"/>
      <c r="L14" s="17" t="n"/>
      <c r="M14" s="23" t="n"/>
    </row>
    <row r="15" ht="30" customHeight="1">
      <c r="A15" s="15" t="n">
        <v>2</v>
      </c>
      <c r="B15" s="28" t="inlineStr">
        <is>
          <t>Tổ hợp dàn nóng VRV/VRF 1 chiều công suất 42HP</t>
        </is>
      </c>
      <c r="C15" s="28" t="n"/>
      <c r="D15" s="28" t="n"/>
      <c r="E15" s="28" t="n"/>
      <c r="F15" s="15" t="inlineStr">
        <is>
          <t>Bộ</t>
        </is>
      </c>
      <c r="G15" s="17" t="n">
        <v>2</v>
      </c>
      <c r="H15" s="17" t="n"/>
      <c r="I15" s="17" t="n"/>
      <c r="J15" s="17" t="n"/>
      <c r="K15" s="17" t="n"/>
      <c r="L15" s="17" t="n"/>
      <c r="M15" s="23" t="n"/>
    </row>
    <row r="16" ht="30" customHeight="1">
      <c r="A16" s="15" t="n">
        <v>3</v>
      </c>
      <c r="B16" s="28" t="inlineStr">
        <is>
          <t>Tổ hợp dàn nóng VRV/VRF 1 chiều công suất 40HP</t>
        </is>
      </c>
      <c r="C16" s="28" t="n"/>
      <c r="D16" s="28" t="n"/>
      <c r="E16" s="28" t="n"/>
      <c r="F16" s="15" t="inlineStr">
        <is>
          <t>Bộ</t>
        </is>
      </c>
      <c r="G16" s="17" t="n">
        <v>1</v>
      </c>
      <c r="H16" s="17" t="n"/>
      <c r="I16" s="17" t="n"/>
      <c r="J16" s="17" t="n"/>
      <c r="K16" s="17" t="n"/>
      <c r="L16" s="17" t="n"/>
      <c r="M16" s="23" t="n"/>
    </row>
    <row r="17" ht="30" customHeight="1">
      <c r="A17" s="15" t="n">
        <v>4</v>
      </c>
      <c r="B17" s="28" t="inlineStr">
        <is>
          <t>Tổ hợp dàn nóng VRV/VRF 1 chiều công suất 38HP</t>
        </is>
      </c>
      <c r="C17" s="28" t="n"/>
      <c r="D17" s="28" t="n"/>
      <c r="E17" s="28" t="n"/>
      <c r="F17" s="15" t="inlineStr">
        <is>
          <t>Bộ</t>
        </is>
      </c>
      <c r="G17" s="17" t="n">
        <v>1</v>
      </c>
      <c r="H17" s="17" t="n"/>
      <c r="I17" s="17" t="n"/>
      <c r="J17" s="17" t="n"/>
      <c r="K17" s="17" t="n"/>
      <c r="L17" s="17" t="n"/>
      <c r="M17" s="23" t="n"/>
    </row>
    <row r="18" ht="30" customHeight="1">
      <c r="A18" s="15" t="n">
        <v>5</v>
      </c>
      <c r="B18" s="28" t="inlineStr">
        <is>
          <t>Tổ hợp dàn nóng VRV/VRF 1 chiều công suất 24HP</t>
        </is>
      </c>
      <c r="C18" s="28" t="n"/>
      <c r="D18" s="28" t="n"/>
      <c r="E18" s="28" t="n"/>
      <c r="F18" s="15" t="inlineStr">
        <is>
          <t>Bộ</t>
        </is>
      </c>
      <c r="G18" s="17" t="n">
        <v>1</v>
      </c>
      <c r="H18" s="17" t="n"/>
      <c r="I18" s="17" t="n"/>
      <c r="J18" s="17" t="n"/>
      <c r="K18" s="17" t="n"/>
      <c r="L18" s="17" t="n"/>
      <c r="M18" s="23" t="n"/>
    </row>
    <row r="19" ht="30" customHeight="1">
      <c r="A19" s="15" t="n">
        <v>6</v>
      </c>
      <c r="B19" s="28" t="inlineStr">
        <is>
          <t>Tổ hợp dàn nóng VRV/VRF 1 chiều công suất 20HP</t>
        </is>
      </c>
      <c r="C19" s="28" t="n"/>
      <c r="D19" s="28" t="n"/>
      <c r="E19" s="28" t="n"/>
      <c r="F19" s="15" t="inlineStr">
        <is>
          <t>Bộ</t>
        </is>
      </c>
      <c r="G19" s="17" t="n">
        <v>8</v>
      </c>
      <c r="H19" s="17" t="n"/>
      <c r="I19" s="17" t="n"/>
      <c r="J19" s="17" t="n"/>
      <c r="K19" s="17" t="n"/>
      <c r="L19" s="17" t="n"/>
      <c r="M19" s="23" t="n"/>
    </row>
    <row r="20" ht="30" customHeight="1">
      <c r="A20" s="15" t="n">
        <v>7</v>
      </c>
      <c r="B20" s="28" t="inlineStr">
        <is>
          <t>Tổ hợp dàn nóng VRV/VRF 1 chiều công suất 16HP</t>
        </is>
      </c>
      <c r="C20" s="28" t="n"/>
      <c r="D20" s="28" t="n"/>
      <c r="E20" s="28" t="n"/>
      <c r="F20" s="15" t="inlineStr">
        <is>
          <t>Bộ</t>
        </is>
      </c>
      <c r="G20" s="17" t="n">
        <v>1</v>
      </c>
      <c r="H20" s="17" t="n"/>
      <c r="I20" s="17" t="n"/>
      <c r="J20" s="17" t="n"/>
      <c r="K20" s="17" t="n"/>
      <c r="L20" s="17" t="n"/>
      <c r="M20" s="23" t="n"/>
    </row>
    <row r="21" ht="30" customHeight="1">
      <c r="A21" s="15" t="n">
        <v>8</v>
      </c>
      <c r="B21" s="28" t="inlineStr">
        <is>
          <t>Dàn lạnh âm trần nối ống gió
CSL: 2.8kW</t>
        </is>
      </c>
      <c r="C21" s="28" t="n"/>
      <c r="D21" s="28" t="n"/>
      <c r="E21" s="28" t="n"/>
      <c r="F21" s="15" t="inlineStr">
        <is>
          <t>Bộ</t>
        </is>
      </c>
      <c r="G21" s="17" t="n">
        <v>20</v>
      </c>
      <c r="H21" s="17" t="n"/>
      <c r="I21" s="17" t="n"/>
      <c r="J21" s="17" t="n"/>
      <c r="K21" s="17" t="n"/>
      <c r="L21" s="17" t="n"/>
      <c r="M21" s="23" t="n"/>
    </row>
    <row r="22" ht="30" customHeight="1">
      <c r="A22" s="15" t="n">
        <v>9</v>
      </c>
      <c r="B22" s="28" t="inlineStr">
        <is>
          <t>Dàn lạnh âm trần nối ống gió
CSL: 4.5kW</t>
        </is>
      </c>
      <c r="C22" s="28" t="n"/>
      <c r="D22" s="28" t="n"/>
      <c r="E22" s="28" t="n"/>
      <c r="F22" s="15" t="inlineStr">
        <is>
          <t>Bộ</t>
        </is>
      </c>
      <c r="G22" s="17" t="n">
        <v>48</v>
      </c>
      <c r="H22" s="17" t="n"/>
      <c r="I22" s="17" t="n"/>
      <c r="J22" s="17" t="n"/>
      <c r="K22" s="17" t="n"/>
      <c r="L22" s="17" t="n"/>
      <c r="M22" s="23" t="n"/>
    </row>
    <row r="23" ht="30" customHeight="1">
      <c r="A23" s="15" t="n">
        <v>10</v>
      </c>
      <c r="B23" s="28" t="inlineStr">
        <is>
          <t>Dàn lạnh âm trần nối ống gió
CSL: 5.6kW</t>
        </is>
      </c>
      <c r="C23" s="28" t="n"/>
      <c r="D23" s="28" t="n"/>
      <c r="E23" s="28" t="n"/>
      <c r="F23" s="15" t="inlineStr">
        <is>
          <t>Bộ</t>
        </is>
      </c>
      <c r="G23" s="17" t="n">
        <v>57</v>
      </c>
      <c r="H23" s="17" t="n"/>
      <c r="I23" s="17" t="n"/>
      <c r="J23" s="17" t="n"/>
      <c r="K23" s="17" t="n"/>
      <c r="L23" s="17" t="n"/>
      <c r="M23" s="23" t="n"/>
    </row>
    <row r="24" ht="30" customHeight="1">
      <c r="A24" s="15" t="n">
        <v>11</v>
      </c>
      <c r="B24" s="28" t="inlineStr">
        <is>
          <t>Dàn lạnh âm trần nối ống gió
CSL: 7.1kW</t>
        </is>
      </c>
      <c r="C24" s="28" t="n"/>
      <c r="D24" s="28" t="n"/>
      <c r="E24" s="28" t="n"/>
      <c r="F24" s="15" t="inlineStr">
        <is>
          <t>Bộ</t>
        </is>
      </c>
      <c r="G24" s="17" t="n">
        <v>4</v>
      </c>
      <c r="H24" s="17" t="n"/>
      <c r="I24" s="17" t="n"/>
      <c r="J24" s="17" t="n"/>
      <c r="K24" s="17" t="n"/>
      <c r="L24" s="17" t="n"/>
      <c r="M24" s="23" t="n"/>
    </row>
    <row r="25" ht="30" customHeight="1">
      <c r="A25" s="15" t="n">
        <v>12</v>
      </c>
      <c r="B25" s="28" t="inlineStr">
        <is>
          <t>Dàn lạnh âm trần nối ống gió
CSL: 9.0kW</t>
        </is>
      </c>
      <c r="C25" s="28" t="n"/>
      <c r="D25" s="28" t="n"/>
      <c r="E25" s="28" t="n"/>
      <c r="F25" s="15" t="inlineStr">
        <is>
          <t>Bộ</t>
        </is>
      </c>
      <c r="G25" s="17" t="n">
        <v>7</v>
      </c>
      <c r="H25" s="17" t="n"/>
      <c r="I25" s="17" t="n"/>
      <c r="J25" s="17" t="n"/>
      <c r="K25" s="17" t="n"/>
      <c r="L25" s="17" t="n"/>
      <c r="M25" s="23" t="n"/>
    </row>
    <row r="26" ht="30" customHeight="1">
      <c r="A26" s="15" t="n">
        <v>13</v>
      </c>
      <c r="B26" s="28" t="inlineStr">
        <is>
          <t>Dàn lạnh âm trần nối ống gió
CSL: 11.2kW</t>
        </is>
      </c>
      <c r="C26" s="28" t="n"/>
      <c r="D26" s="28" t="n"/>
      <c r="E26" s="28" t="n"/>
      <c r="F26" s="15" t="inlineStr">
        <is>
          <t>Bộ</t>
        </is>
      </c>
      <c r="G26" s="17" t="n">
        <v>20</v>
      </c>
      <c r="H26" s="17" t="n"/>
      <c r="I26" s="17" t="n"/>
      <c r="J26" s="17" t="n"/>
      <c r="K26" s="17" t="n"/>
      <c r="L26" s="17" t="n"/>
      <c r="M26" s="23" t="n"/>
    </row>
    <row r="27" ht="30" customHeight="1">
      <c r="A27" s="15" t="n">
        <v>14</v>
      </c>
      <c r="B27" s="28" t="inlineStr">
        <is>
          <t>Dàn lạnh âm trần nối ống gió
CSL: 14kW</t>
        </is>
      </c>
      <c r="C27" s="28" t="n"/>
      <c r="D27" s="28" t="n"/>
      <c r="E27" s="28" t="n"/>
      <c r="F27" s="15" t="inlineStr">
        <is>
          <t>Bộ</t>
        </is>
      </c>
      <c r="G27" s="17" t="n">
        <v>10</v>
      </c>
      <c r="H27" s="17" t="n"/>
      <c r="I27" s="17" t="n"/>
      <c r="J27" s="17" t="n"/>
      <c r="K27" s="17" t="n"/>
      <c r="L27" s="17" t="n"/>
      <c r="M27" s="23" t="n"/>
    </row>
    <row r="28" ht="30" customHeight="1">
      <c r="A28" s="15" t="n">
        <v>15</v>
      </c>
      <c r="B28" s="28" t="inlineStr">
        <is>
          <t>Dàn lạnh âm trần nối ống gió
CSL: 16kW</t>
        </is>
      </c>
      <c r="C28" s="28" t="n"/>
      <c r="D28" s="28" t="n"/>
      <c r="E28" s="28" t="n"/>
      <c r="F28" s="15" t="inlineStr">
        <is>
          <t>Bộ</t>
        </is>
      </c>
      <c r="G28" s="17" t="n">
        <v>4</v>
      </c>
      <c r="H28" s="17" t="n"/>
      <c r="I28" s="17" t="n"/>
      <c r="J28" s="17" t="n"/>
      <c r="K28" s="17" t="n"/>
      <c r="L28" s="17" t="n"/>
      <c r="M28" s="23" t="n"/>
    </row>
    <row r="29" ht="30" customHeight="1">
      <c r="A29" s="15" t="n">
        <v>16</v>
      </c>
      <c r="B29" s="28" t="inlineStr">
        <is>
          <t>Dàn lạnh cassette âm trần
CSL: 2.2kW</t>
        </is>
      </c>
      <c r="C29" s="28" t="n"/>
      <c r="D29" s="28" t="n"/>
      <c r="E29" s="28" t="n"/>
      <c r="F29" s="15" t="inlineStr">
        <is>
          <t>Bộ</t>
        </is>
      </c>
      <c r="G29" s="17" t="n">
        <v>6</v>
      </c>
      <c r="H29" s="17" t="n"/>
      <c r="I29" s="17" t="n"/>
      <c r="J29" s="17" t="n"/>
      <c r="K29" s="17" t="n"/>
      <c r="L29" s="17" t="n"/>
      <c r="M29" s="23" t="n"/>
    </row>
    <row r="30" ht="30" customHeight="1">
      <c r="A30" s="15" t="n">
        <v>17</v>
      </c>
      <c r="B30" s="28" t="inlineStr">
        <is>
          <t>Dàn lạnh cassette âm trần
CSL: 4.5kW</t>
        </is>
      </c>
      <c r="C30" s="28" t="n"/>
      <c r="D30" s="28" t="n"/>
      <c r="E30" s="28" t="n"/>
      <c r="F30" s="15" t="inlineStr">
        <is>
          <t>Bộ</t>
        </is>
      </c>
      <c r="G30" s="17" t="n">
        <v>1</v>
      </c>
      <c r="H30" s="17" t="n"/>
      <c r="I30" s="17" t="n"/>
      <c r="J30" s="17" t="n"/>
      <c r="K30" s="17" t="n"/>
      <c r="L30" s="17" t="n"/>
      <c r="M30" s="23" t="n"/>
    </row>
    <row r="31" ht="30" customHeight="1">
      <c r="A31" s="15" t="n">
        <v>18</v>
      </c>
      <c r="B31" s="28" t="inlineStr">
        <is>
          <t>Dàn lạnh cassette âm trần
CSL: 5.6kW</t>
        </is>
      </c>
      <c r="C31" s="28" t="n"/>
      <c r="D31" s="28" t="n"/>
      <c r="E31" s="28" t="n"/>
      <c r="F31" s="15" t="inlineStr">
        <is>
          <t>Bộ</t>
        </is>
      </c>
      <c r="G31" s="17" t="n">
        <v>2</v>
      </c>
      <c r="H31" s="17" t="n"/>
      <c r="I31" s="17" t="n"/>
      <c r="J31" s="17" t="n"/>
      <c r="K31" s="17" t="n"/>
      <c r="L31" s="17" t="n"/>
      <c r="M31" s="23" t="n"/>
    </row>
    <row r="32">
      <c r="A32" s="15" t="n">
        <v>19</v>
      </c>
      <c r="B32" s="28" t="inlineStr">
        <is>
          <t>Mặt nạ cho dàn lạnh Cassette âm trần</t>
        </is>
      </c>
      <c r="C32" s="28" t="n"/>
      <c r="D32" s="28" t="n"/>
      <c r="E32" s="28" t="n"/>
      <c r="F32" s="15" t="inlineStr">
        <is>
          <t>Bộ</t>
        </is>
      </c>
      <c r="G32" s="17" t="n">
        <v>9</v>
      </c>
      <c r="H32" s="17" t="n"/>
      <c r="I32" s="17" t="n"/>
      <c r="J32" s="17" t="n"/>
      <c r="K32" s="17" t="n"/>
      <c r="L32" s="17" t="n"/>
      <c r="M32" s="23" t="n"/>
    </row>
    <row r="33">
      <c r="A33" s="15" t="n">
        <v>20</v>
      </c>
      <c r="B33" s="28" t="inlineStr">
        <is>
          <t xml:space="preserve">Điều khiển gắn tường cho dàn lạnh </t>
        </is>
      </c>
      <c r="C33" s="28" t="n"/>
      <c r="D33" s="28" t="n"/>
      <c r="E33" s="28" t="n"/>
      <c r="F33" s="15" t="inlineStr">
        <is>
          <t>Bộ</t>
        </is>
      </c>
      <c r="G33" s="17" t="n">
        <v>179</v>
      </c>
      <c r="H33" s="17" t="n"/>
      <c r="I33" s="17" t="n"/>
      <c r="J33" s="17" t="n"/>
      <c r="K33" s="17" t="n"/>
      <c r="L33" s="17" t="n"/>
      <c r="M33" s="23" t="n"/>
    </row>
    <row r="34">
      <c r="A34" s="15" t="n">
        <v>21</v>
      </c>
      <c r="B34" s="28" t="inlineStr">
        <is>
          <t>Bộ chia gas dàn nóng</t>
        </is>
      </c>
      <c r="C34" s="28" t="n"/>
      <c r="D34" s="28" t="n"/>
      <c r="E34" s="28" t="n"/>
      <c r="F34" s="15" t="inlineStr">
        <is>
          <t>Bộ</t>
        </is>
      </c>
      <c r="G34" s="17" t="n">
        <v>7</v>
      </c>
      <c r="H34" s="17" t="n"/>
      <c r="I34" s="17" t="n"/>
      <c r="J34" s="17" t="n"/>
      <c r="K34" s="17" t="n"/>
      <c r="L34" s="17" t="n"/>
      <c r="M34" s="23" t="n"/>
    </row>
    <row r="35">
      <c r="A35" s="15" t="n">
        <v>22</v>
      </c>
      <c r="B35" s="28" t="inlineStr">
        <is>
          <t>Bộ chia gas dàn lạnh</t>
        </is>
      </c>
      <c r="C35" s="28" t="n"/>
      <c r="D35" s="28" t="n"/>
      <c r="E35" s="28" t="n"/>
      <c r="F35" s="15" t="inlineStr">
        <is>
          <t>Bộ</t>
        </is>
      </c>
      <c r="G35" s="17" t="n">
        <v>179</v>
      </c>
      <c r="H35" s="17" t="n"/>
      <c r="I35" s="17" t="n"/>
      <c r="J35" s="17" t="n"/>
      <c r="K35" s="17" t="n"/>
      <c r="L35" s="17" t="n"/>
      <c r="M35" s="23" t="n"/>
    </row>
    <row r="36">
      <c r="A36" s="15" t="n">
        <v>23</v>
      </c>
      <c r="B36" s="28" t="inlineStr">
        <is>
          <t>Bộ điều khiển trung tâm</t>
        </is>
      </c>
      <c r="C36" s="28" t="n"/>
      <c r="D36" s="28" t="n"/>
      <c r="E36" s="28" t="n"/>
      <c r="F36" s="15" t="inlineStr">
        <is>
          <t>Bộ</t>
        </is>
      </c>
      <c r="G36" s="17" t="n">
        <v>1</v>
      </c>
      <c r="H36" s="17" t="n"/>
      <c r="I36" s="17" t="n"/>
      <c r="J36" s="17" t="n"/>
      <c r="K36" s="17" t="n"/>
      <c r="L36" s="17" t="n"/>
      <c r="M36" s="23" t="n"/>
    </row>
    <row r="37">
      <c r="A37" s="15" t="n">
        <v>24</v>
      </c>
      <c r="B37" s="28" t="inlineStr">
        <is>
          <t>Giá đỡ cho lạnh VRV/VRF</t>
        </is>
      </c>
      <c r="C37" s="28" t="n"/>
      <c r="D37" s="28" t="n"/>
      <c r="E37" s="28" t="n"/>
      <c r="F37" s="15" t="inlineStr">
        <is>
          <t>Bộ</t>
        </is>
      </c>
      <c r="G37" s="17" t="n">
        <v>63</v>
      </c>
      <c r="H37" s="17" t="n"/>
      <c r="I37" s="17" t="n"/>
      <c r="J37" s="17" t="n"/>
      <c r="K37" s="17" t="n"/>
      <c r="L37" s="17" t="n"/>
      <c r="M37" s="23" t="n"/>
    </row>
    <row r="38">
      <c r="A38" s="15" t="n">
        <v>25</v>
      </c>
      <c r="B38" s="28" t="inlineStr">
        <is>
          <t>Giá đỡ cho dàn nóng VRV/VRF</t>
        </is>
      </c>
      <c r="C38" s="28" t="n"/>
      <c r="D38" s="28" t="n"/>
      <c r="E38" s="28" t="n"/>
      <c r="F38" s="15" t="inlineStr">
        <is>
          <t>Bộ</t>
        </is>
      </c>
      <c r="G38" s="17" t="n">
        <v>15</v>
      </c>
      <c r="H38" s="17" t="n"/>
      <c r="I38" s="17" t="n"/>
      <c r="J38" s="17" t="n"/>
      <c r="K38" s="17" t="n"/>
      <c r="L38" s="17" t="n"/>
      <c r="M38" s="23" t="n"/>
    </row>
    <row r="39">
      <c r="A39" s="15" t="n">
        <v>26</v>
      </c>
      <c r="B39" s="28" t="inlineStr">
        <is>
          <t>Vật tư phụ</t>
        </is>
      </c>
      <c r="C39" s="28" t="n"/>
      <c r="D39" s="28" t="n"/>
      <c r="E39" s="28" t="n"/>
      <c r="F39" s="15" t="inlineStr">
        <is>
          <t>lô</t>
        </is>
      </c>
      <c r="G39" s="17" t="n">
        <v>1</v>
      </c>
      <c r="H39" s="17" t="n"/>
      <c r="I39" s="17" t="n"/>
      <c r="J39" s="17" t="n"/>
      <c r="K39" s="17" t="n"/>
      <c r="L39" s="17" t="n"/>
      <c r="M39" s="23" t="n"/>
    </row>
    <row r="40" ht="25.5" customFormat="1" customHeight="1" s="3">
      <c r="A40" s="10" t="inlineStr">
        <is>
          <t>III</t>
        </is>
      </c>
      <c r="B40" s="18" t="inlineStr">
        <is>
          <t>Quạt thông gió</t>
        </is>
      </c>
      <c r="C40" s="18" t="n"/>
      <c r="D40" s="18" t="n"/>
      <c r="E40" s="18" t="n"/>
      <c r="F40" s="10" t="n"/>
      <c r="G40" s="17" t="n">
        <v>0</v>
      </c>
      <c r="H40" s="17" t="n"/>
      <c r="I40" s="17" t="n"/>
      <c r="J40" s="17" t="n"/>
      <c r="K40" s="17" t="n"/>
      <c r="L40" s="17" t="n"/>
      <c r="M40" s="13" t="n"/>
    </row>
    <row r="41" ht="30" customHeight="1">
      <c r="A41" s="15" t="n">
        <v>1</v>
      </c>
      <c r="B41" s="28" t="inlineStr">
        <is>
          <t>Quạt gắn tường 
Lưu lượng: 2600m3/h, Cột áp: 50Pa</t>
        </is>
      </c>
      <c r="C41" s="28" t="n"/>
      <c r="D41" s="28" t="n"/>
      <c r="E41" s="28" t="n"/>
      <c r="F41" s="15" t="inlineStr">
        <is>
          <t>Bộ</t>
        </is>
      </c>
      <c r="G41" s="17" t="n">
        <v>1</v>
      </c>
      <c r="H41" s="17" t="n"/>
      <c r="I41" s="17" t="n"/>
      <c r="J41" s="17" t="n"/>
      <c r="K41" s="17" t="n"/>
      <c r="L41" s="17" t="n"/>
      <c r="M41" s="23" t="n"/>
    </row>
    <row r="42" ht="30" customHeight="1">
      <c r="A42" s="15" t="n">
        <v>2</v>
      </c>
      <c r="B42" s="28" t="inlineStr">
        <is>
          <t>Quạt gắn tường 
Lưu lượng: 450m3/h, Cột áp: 50Pa</t>
        </is>
      </c>
      <c r="C42" s="28" t="n"/>
      <c r="D42" s="28" t="n"/>
      <c r="E42" s="28" t="n"/>
      <c r="F42" s="15" t="inlineStr">
        <is>
          <t>Bộ</t>
        </is>
      </c>
      <c r="G42" s="17" t="n">
        <v>2</v>
      </c>
      <c r="H42" s="17" t="n"/>
      <c r="I42" s="17" t="n"/>
      <c r="J42" s="17" t="n"/>
      <c r="K42" s="17" t="n"/>
      <c r="L42" s="17" t="n"/>
      <c r="M42" s="23" t="n"/>
    </row>
    <row r="43" ht="30" customHeight="1">
      <c r="A43" s="15" t="n">
        <v>3</v>
      </c>
      <c r="B43" s="28" t="inlineStr">
        <is>
          <t>Quạt gắn tường 
Lưu lượng: 350m3/h, Cột áp: 50Pa</t>
        </is>
      </c>
      <c r="C43" s="28" t="n"/>
      <c r="D43" s="28" t="n"/>
      <c r="E43" s="28" t="n"/>
      <c r="F43" s="15" t="inlineStr">
        <is>
          <t>Bộ</t>
        </is>
      </c>
      <c r="G43" s="17" t="n">
        <v>1</v>
      </c>
      <c r="H43" s="17" t="n"/>
      <c r="I43" s="17" t="n"/>
      <c r="J43" s="17" t="n"/>
      <c r="K43" s="17" t="n"/>
      <c r="L43" s="17" t="n"/>
      <c r="M43" s="23" t="n"/>
    </row>
    <row r="44" ht="30" customHeight="1">
      <c r="A44" s="15" t="n">
        <v>4</v>
      </c>
      <c r="B44" s="28" t="inlineStr">
        <is>
          <t>Quạt gắn tường 
Lưu lượng: 300m3/h, Cột áp: 50Pa</t>
        </is>
      </c>
      <c r="C44" s="28" t="n"/>
      <c r="D44" s="28" t="n"/>
      <c r="E44" s="28" t="n"/>
      <c r="F44" s="15" t="inlineStr">
        <is>
          <t>Bộ</t>
        </is>
      </c>
      <c r="G44" s="17" t="n">
        <v>1</v>
      </c>
      <c r="H44" s="17" t="n"/>
      <c r="I44" s="17" t="n"/>
      <c r="J44" s="17" t="n"/>
      <c r="K44" s="17" t="n"/>
      <c r="L44" s="17" t="n"/>
      <c r="M44" s="23" t="n"/>
    </row>
    <row r="45" ht="30" customHeight="1">
      <c r="A45" s="15" t="n">
        <v>5</v>
      </c>
      <c r="B45" s="28" t="inlineStr">
        <is>
          <t>Quạt hướng trục hút vệ sinh
Lưu lượng: 1250m3/h, Cột áp: 150Pa</t>
        </is>
      </c>
      <c r="C45" s="28" t="n"/>
      <c r="D45" s="28" t="n"/>
      <c r="E45" s="28" t="n"/>
      <c r="F45" s="15" t="inlineStr">
        <is>
          <t>Bộ</t>
        </is>
      </c>
      <c r="G45" s="17" t="n">
        <v>3</v>
      </c>
      <c r="H45" s="17" t="n"/>
      <c r="I45" s="17" t="n"/>
      <c r="J45" s="17" t="n"/>
      <c r="K45" s="17" t="n"/>
      <c r="L45" s="17" t="n"/>
      <c r="M45" s="23" t="n"/>
    </row>
    <row r="46" ht="30" customHeight="1">
      <c r="A46" s="15" t="n">
        <v>6</v>
      </c>
      <c r="B46" s="28" t="inlineStr">
        <is>
          <t>Quạt hướng trục hút vệ sinh
Lưu lượng: 1150m3/h, Cột áp: 150Pa</t>
        </is>
      </c>
      <c r="C46" s="28" t="n"/>
      <c r="D46" s="28" t="n"/>
      <c r="E46" s="28" t="n"/>
      <c r="F46" s="15" t="inlineStr">
        <is>
          <t>Bộ</t>
        </is>
      </c>
      <c r="G46" s="17" t="n">
        <v>1</v>
      </c>
      <c r="H46" s="17" t="n"/>
      <c r="I46" s="17" t="n"/>
      <c r="J46" s="17" t="n"/>
      <c r="K46" s="17" t="n"/>
      <c r="L46" s="17" t="n"/>
      <c r="M46" s="23" t="n"/>
    </row>
    <row r="47" ht="30" customHeight="1">
      <c r="A47" s="15" t="n">
        <v>7</v>
      </c>
      <c r="B47" s="28" t="inlineStr">
        <is>
          <t>Quạt hướng trục cấp gió tươi
Lưu lượng: 850m3/h, Cột áp: 200Pa</t>
        </is>
      </c>
      <c r="C47" s="28" t="n"/>
      <c r="D47" s="28" t="n"/>
      <c r="E47" s="28" t="n"/>
      <c r="F47" s="15" t="inlineStr">
        <is>
          <t>Bộ</t>
        </is>
      </c>
      <c r="G47" s="17" t="n">
        <v>8</v>
      </c>
      <c r="H47" s="17" t="n"/>
      <c r="I47" s="17" t="n"/>
      <c r="J47" s="17" t="n"/>
      <c r="K47" s="17" t="n"/>
      <c r="L47" s="17" t="n"/>
      <c r="M47" s="23" t="n"/>
    </row>
    <row r="48" ht="30" customHeight="1">
      <c r="A48" s="15" t="n">
        <v>8</v>
      </c>
      <c r="B48" s="28" t="inlineStr">
        <is>
          <t>Quạt hướng trục hút vệ sinh
Lưu lượng: 850m3/h, Cột áp: 150Pa</t>
        </is>
      </c>
      <c r="C48" s="28" t="n"/>
      <c r="D48" s="28" t="n"/>
      <c r="E48" s="28" t="n"/>
      <c r="F48" s="15" t="inlineStr">
        <is>
          <t>Bộ</t>
        </is>
      </c>
      <c r="G48" s="17" t="n">
        <v>1</v>
      </c>
      <c r="H48" s="17" t="n"/>
      <c r="I48" s="17" t="n"/>
      <c r="J48" s="17" t="n"/>
      <c r="K48" s="17" t="n"/>
      <c r="L48" s="17" t="n"/>
      <c r="M48" s="23" t="n"/>
    </row>
    <row r="49" ht="30" customHeight="1">
      <c r="A49" s="15" t="n">
        <v>9</v>
      </c>
      <c r="B49" s="28" t="inlineStr">
        <is>
          <t>Quạt hướng trục hút vệ sinh
Lưu lượng: 500m3/h, Cột áp: 150Pa</t>
        </is>
      </c>
      <c r="C49" s="28" t="n"/>
      <c r="D49" s="28" t="n"/>
      <c r="E49" s="28" t="n"/>
      <c r="F49" s="15" t="inlineStr">
        <is>
          <t>Bộ</t>
        </is>
      </c>
      <c r="G49" s="17" t="n">
        <v>8</v>
      </c>
      <c r="H49" s="17" t="n"/>
      <c r="I49" s="17" t="n"/>
      <c r="J49" s="17" t="n"/>
      <c r="K49" s="17" t="n"/>
      <c r="L49" s="17" t="n"/>
      <c r="M49" s="23" t="n"/>
    </row>
    <row r="50" ht="30" customHeight="1">
      <c r="A50" s="15" t="n">
        <v>10</v>
      </c>
      <c r="B50" s="28" t="inlineStr">
        <is>
          <t>Quạt hướng trục hút vệ sinh
Lưu lượng: 300m3/h, Cột áp: 100Pa</t>
        </is>
      </c>
      <c r="C50" s="28" t="n"/>
      <c r="D50" s="28" t="n"/>
      <c r="E50" s="28" t="n"/>
      <c r="F50" s="15" t="inlineStr">
        <is>
          <t>Bộ</t>
        </is>
      </c>
      <c r="G50" s="17" t="n">
        <v>1</v>
      </c>
      <c r="H50" s="17" t="n"/>
      <c r="I50" s="17" t="n"/>
      <c r="J50" s="17" t="n"/>
      <c r="K50" s="17" t="n"/>
      <c r="L50" s="17" t="n"/>
      <c r="M50" s="23" t="n"/>
    </row>
    <row r="51" ht="30" customHeight="1">
      <c r="A51" s="15" t="n">
        <v>11</v>
      </c>
      <c r="B51" s="28" t="inlineStr">
        <is>
          <t>Quạt ly tâm hút phòng rác
Lưu lượng: 5600m3/h, Cột áp: 500Pa</t>
        </is>
      </c>
      <c r="C51" s="28" t="n"/>
      <c r="D51" s="28" t="n"/>
      <c r="E51" s="28" t="n"/>
      <c r="F51" s="15" t="inlineStr">
        <is>
          <t>Bộ</t>
        </is>
      </c>
      <c r="G51" s="17" t="n">
        <v>1</v>
      </c>
      <c r="H51" s="17" t="n"/>
      <c r="I51" s="17" t="n"/>
      <c r="J51" s="17" t="n"/>
      <c r="K51" s="17" t="n"/>
      <c r="L51" s="17" t="n"/>
      <c r="M51" s="23" t="n"/>
    </row>
    <row r="52" ht="30" customHeight="1">
      <c r="A52" s="15" t="n">
        <v>12</v>
      </c>
      <c r="B52" s="28" t="inlineStr">
        <is>
          <t>Quạt ly tâm hút bếp
Lưu lượng: 6000m3/h, Cột áp: 450Pa</t>
        </is>
      </c>
      <c r="C52" s="28" t="n"/>
      <c r="D52" s="28" t="n"/>
      <c r="E52" s="28" t="n"/>
      <c r="F52" s="15" t="inlineStr">
        <is>
          <t>Bộ</t>
        </is>
      </c>
      <c r="G52" s="17" t="n">
        <v>1</v>
      </c>
      <c r="H52" s="17" t="n"/>
      <c r="I52" s="17" t="n"/>
      <c r="J52" s="17" t="n"/>
      <c r="K52" s="17" t="n"/>
      <c r="L52" s="17" t="n"/>
      <c r="M52" s="23" t="n"/>
    </row>
    <row r="53">
      <c r="A53" s="15" t="n">
        <v>13</v>
      </c>
      <c r="B53" s="16" t="inlineStr">
        <is>
          <t>Bạt nối mềm đầu quạt</t>
        </is>
      </c>
      <c r="C53" s="16" t="n"/>
      <c r="D53" s="16" t="n"/>
      <c r="E53" s="16" t="n"/>
      <c r="F53" s="15" t="inlineStr">
        <is>
          <t>Bộ</t>
        </is>
      </c>
      <c r="G53" s="17" t="n">
        <v>10</v>
      </c>
      <c r="H53" s="17" t="n"/>
      <c r="I53" s="17" t="n"/>
      <c r="J53" s="17" t="n"/>
      <c r="K53" s="17" t="n"/>
      <c r="L53" s="17" t="n"/>
      <c r="M53" s="23" t="n"/>
    </row>
    <row r="54">
      <c r="A54" s="15" t="n">
        <v>14</v>
      </c>
      <c r="B54" s="28" t="inlineStr">
        <is>
          <t xml:space="preserve">Giá đỡ quạt </t>
        </is>
      </c>
      <c r="C54" s="28" t="n"/>
      <c r="D54" s="28" t="n"/>
      <c r="E54" s="28" t="n"/>
      <c r="F54" s="15" t="inlineStr">
        <is>
          <t>Bộ</t>
        </is>
      </c>
      <c r="G54" s="17" t="n">
        <v>5</v>
      </c>
      <c r="H54" s="17" t="n"/>
      <c r="I54" s="17" t="n"/>
      <c r="J54" s="17" t="n"/>
      <c r="K54" s="17" t="n"/>
      <c r="L54" s="17" t="n"/>
      <c r="M54" s="23" t="n"/>
    </row>
    <row r="55">
      <c r="A55" s="15" t="n">
        <v>15</v>
      </c>
      <c r="B55" s="28" t="inlineStr">
        <is>
          <t>Vật tư phụ</t>
        </is>
      </c>
      <c r="C55" s="28" t="n"/>
      <c r="D55" s="28" t="n"/>
      <c r="E55" s="28" t="n"/>
      <c r="F55" s="15" t="inlineStr">
        <is>
          <t>lô</t>
        </is>
      </c>
      <c r="G55" s="17" t="n">
        <v>1</v>
      </c>
      <c r="H55" s="17" t="n"/>
      <c r="I55" s="17" t="n"/>
      <c r="J55" s="17" t="n"/>
      <c r="K55" s="17" t="n"/>
      <c r="L55" s="17" t="n"/>
      <c r="M55" s="23" t="n"/>
    </row>
    <row r="56" ht="25.5" customFormat="1" customHeight="1" s="3">
      <c r="A56" s="10" t="inlineStr">
        <is>
          <t>IV</t>
        </is>
      </c>
      <c r="B56" s="18" t="inlineStr">
        <is>
          <t>Ống đồng kèm bảo ôn</t>
        </is>
      </c>
      <c r="C56" s="18" t="n"/>
      <c r="D56" s="18" t="n"/>
      <c r="E56" s="18" t="n"/>
      <c r="F56" s="10" t="n"/>
      <c r="G56" s="17" t="n">
        <v>0</v>
      </c>
      <c r="H56" s="17" t="n"/>
      <c r="I56" s="17" t="n"/>
      <c r="J56" s="17" t="n"/>
      <c r="K56" s="17" t="n"/>
      <c r="L56" s="17" t="n"/>
      <c r="M56" s="13" t="n"/>
    </row>
    <row r="57">
      <c r="A57" s="15" t="n">
        <v>1</v>
      </c>
      <c r="B57" s="19" t="inlineStr">
        <is>
          <t>Ống đồng Ø6.4/Ø12.7</t>
        </is>
      </c>
      <c r="C57" s="19" t="n"/>
      <c r="D57" s="19" t="n"/>
      <c r="E57" s="19" t="n"/>
      <c r="F57" s="15" t="inlineStr">
        <is>
          <t xml:space="preserve">m </t>
        </is>
      </c>
      <c r="G57" s="17" t="n">
        <v>484.4</v>
      </c>
      <c r="H57" s="17" t="n"/>
      <c r="I57" s="17" t="n"/>
      <c r="J57" s="17" t="n"/>
      <c r="K57" s="17" t="n"/>
      <c r="L57" s="17" t="n"/>
      <c r="M57" s="23" t="n"/>
    </row>
    <row r="58">
      <c r="A58" s="15" t="n">
        <v>2</v>
      </c>
      <c r="B58" s="19" t="inlineStr">
        <is>
          <t>Ống đồng Ø9.5/Ø15.9</t>
        </is>
      </c>
      <c r="C58" s="19" t="n"/>
      <c r="D58" s="19" t="n"/>
      <c r="E58" s="19" t="n"/>
      <c r="F58" s="15" t="inlineStr">
        <is>
          <t xml:space="preserve">m </t>
        </is>
      </c>
      <c r="G58" s="17" t="n">
        <v>1254.45</v>
      </c>
      <c r="H58" s="17" t="n"/>
      <c r="I58" s="17" t="n"/>
      <c r="J58" s="17" t="n"/>
      <c r="K58" s="17" t="n"/>
      <c r="L58" s="17" t="n"/>
      <c r="M58" s="23" t="n"/>
    </row>
    <row r="59">
      <c r="A59" s="15" t="n">
        <v>3</v>
      </c>
      <c r="B59" s="19" t="inlineStr">
        <is>
          <t>Ống đồng Ø9.5/Ø19.1</t>
        </is>
      </c>
      <c r="C59" s="19" t="n"/>
      <c r="D59" s="19" t="n"/>
      <c r="E59" s="19" t="n"/>
      <c r="F59" s="15" t="inlineStr">
        <is>
          <t xml:space="preserve">m </t>
        </is>
      </c>
      <c r="G59" s="17" t="n">
        <v>102.05</v>
      </c>
      <c r="H59" s="17" t="n"/>
      <c r="I59" s="17" t="n"/>
      <c r="J59" s="17" t="n"/>
      <c r="K59" s="17" t="n"/>
      <c r="L59" s="17" t="n"/>
      <c r="M59" s="23" t="n"/>
    </row>
    <row r="60">
      <c r="A60" s="15" t="n">
        <v>4</v>
      </c>
      <c r="B60" s="19" t="inlineStr">
        <is>
          <t>Ống đồng Ø9.5/Ø22.2</t>
        </is>
      </c>
      <c r="C60" s="19" t="n"/>
      <c r="D60" s="19" t="n"/>
      <c r="E60" s="19" t="n"/>
      <c r="F60" s="15" t="inlineStr">
        <is>
          <t xml:space="preserve">m </t>
        </is>
      </c>
      <c r="G60" s="17" t="n">
        <v>96.25000000000001</v>
      </c>
      <c r="H60" s="17" t="n"/>
      <c r="I60" s="17" t="n"/>
      <c r="J60" s="17" t="n"/>
      <c r="K60" s="17" t="n"/>
      <c r="L60" s="17" t="n"/>
      <c r="M60" s="23" t="n"/>
    </row>
    <row r="61">
      <c r="A61" s="15" t="n">
        <v>5</v>
      </c>
      <c r="B61" s="19" t="inlineStr">
        <is>
          <t>Ống đồng Ø12.7/Ø28.6</t>
        </is>
      </c>
      <c r="C61" s="19" t="n"/>
      <c r="D61" s="19" t="n"/>
      <c r="E61" s="19" t="n"/>
      <c r="F61" s="15" t="inlineStr">
        <is>
          <t xml:space="preserve">m </t>
        </is>
      </c>
      <c r="G61" s="17" t="n">
        <v>856.4499999999999</v>
      </c>
      <c r="H61" s="17" t="n"/>
      <c r="I61" s="17" t="n"/>
      <c r="J61" s="17" t="n"/>
      <c r="K61" s="17" t="n"/>
      <c r="L61" s="17" t="n"/>
      <c r="M61" s="23" t="n"/>
    </row>
    <row r="62">
      <c r="A62" s="15" t="n">
        <v>6</v>
      </c>
      <c r="B62" s="19" t="inlineStr">
        <is>
          <t>Ống đồng Ø15.9/Ø28.6</t>
        </is>
      </c>
      <c r="C62" s="19" t="n"/>
      <c r="D62" s="19" t="n"/>
      <c r="E62" s="19" t="n"/>
      <c r="F62" s="15" t="inlineStr">
        <is>
          <t xml:space="preserve">m </t>
        </is>
      </c>
      <c r="G62" s="17" t="n">
        <v>77.34999999999999</v>
      </c>
      <c r="H62" s="17" t="n"/>
      <c r="I62" s="17" t="n"/>
      <c r="J62" s="17" t="n"/>
      <c r="K62" s="17" t="n"/>
      <c r="L62" s="17" t="n"/>
      <c r="M62" s="23" t="n"/>
    </row>
    <row r="63">
      <c r="A63" s="15" t="n">
        <v>7</v>
      </c>
      <c r="B63" s="19" t="inlineStr">
        <is>
          <t>Ống đồng Ø19.1/Ø34.9</t>
        </is>
      </c>
      <c r="C63" s="19" t="n"/>
      <c r="D63" s="19" t="n"/>
      <c r="E63" s="19" t="n"/>
      <c r="F63" s="15" t="inlineStr">
        <is>
          <t xml:space="preserve">m </t>
        </is>
      </c>
      <c r="G63" s="17" t="n">
        <v>19.55</v>
      </c>
      <c r="H63" s="17" t="n"/>
      <c r="I63" s="17" t="n"/>
      <c r="J63" s="17" t="n"/>
      <c r="K63" s="17" t="n"/>
      <c r="L63" s="17" t="n"/>
      <c r="M63" s="23" t="n"/>
    </row>
    <row r="64">
      <c r="A64" s="15" t="n">
        <v>8</v>
      </c>
      <c r="B64" s="19" t="inlineStr">
        <is>
          <t>Ống đồng Ø19.1/Ø41.3</t>
        </is>
      </c>
      <c r="C64" s="19" t="n"/>
      <c r="D64" s="19" t="n"/>
      <c r="E64" s="19" t="n"/>
      <c r="F64" s="15" t="inlineStr">
        <is>
          <t xml:space="preserve">m </t>
        </is>
      </c>
      <c r="G64" s="17" t="n">
        <v>402.15</v>
      </c>
      <c r="H64" s="17" t="n"/>
      <c r="I64" s="17" t="n"/>
      <c r="J64" s="17" t="n"/>
      <c r="K64" s="17" t="n"/>
      <c r="L64" s="17" t="n"/>
      <c r="M64" s="23" t="n"/>
    </row>
    <row r="65">
      <c r="A65" s="15" t="n">
        <v>9</v>
      </c>
      <c r="B65" s="19" t="inlineStr">
        <is>
          <t>Bảo ôn ống đồng Ø6.4 dày 13mm</t>
        </is>
      </c>
      <c r="C65" s="19" t="n"/>
      <c r="D65" s="19" t="n"/>
      <c r="E65" s="19" t="n"/>
      <c r="F65" s="15" t="inlineStr">
        <is>
          <t xml:space="preserve">m </t>
        </is>
      </c>
      <c r="G65" s="17" t="n">
        <v>485.45</v>
      </c>
      <c r="H65" s="17" t="n"/>
      <c r="I65" s="17" t="n"/>
      <c r="J65" s="17" t="n"/>
      <c r="K65" s="17" t="n"/>
      <c r="L65" s="17" t="n"/>
      <c r="M65" s="23" t="n"/>
    </row>
    <row r="66">
      <c r="A66" s="15" t="n">
        <v>10</v>
      </c>
      <c r="B66" s="19" t="inlineStr">
        <is>
          <t>Bảo ôn ống đồng Ø9.5 dày 13mm</t>
        </is>
      </c>
      <c r="C66" s="19" t="n"/>
      <c r="D66" s="19" t="n"/>
      <c r="E66" s="19" t="n"/>
      <c r="F66" s="15" t="inlineStr">
        <is>
          <t xml:space="preserve">m </t>
        </is>
      </c>
      <c r="G66" s="17" t="n">
        <v>1450.65</v>
      </c>
      <c r="H66" s="17" t="n"/>
      <c r="I66" s="17" t="n"/>
      <c r="J66" s="17" t="n"/>
      <c r="K66" s="17" t="n"/>
      <c r="L66" s="17" t="n"/>
      <c r="M66" s="23" t="n"/>
    </row>
    <row r="67">
      <c r="A67" s="15" t="n">
        <v>11</v>
      </c>
      <c r="B67" s="19" t="inlineStr">
        <is>
          <t>Bảo ôn ống đồng Ø12.7 dày 13mm</t>
        </is>
      </c>
      <c r="C67" s="19" t="n"/>
      <c r="D67" s="19" t="n"/>
      <c r="E67" s="19" t="n"/>
      <c r="F67" s="15" t="inlineStr">
        <is>
          <t xml:space="preserve">m </t>
        </is>
      </c>
      <c r="G67" s="17" t="n">
        <v>1340.85</v>
      </c>
      <c r="H67" s="17" t="n"/>
      <c r="I67" s="17" t="n"/>
      <c r="J67" s="17" t="n"/>
      <c r="K67" s="17" t="n"/>
      <c r="L67" s="17" t="n"/>
      <c r="M67" s="23" t="n"/>
    </row>
    <row r="68">
      <c r="A68" s="15" t="n">
        <v>12</v>
      </c>
      <c r="B68" s="19" t="inlineStr">
        <is>
          <t>Bảo ôn ống đồng Ø15.9 dày 19mm</t>
        </is>
      </c>
      <c r="C68" s="19" t="n"/>
      <c r="D68" s="19" t="n"/>
      <c r="E68" s="19" t="n"/>
      <c r="F68" s="15" t="inlineStr">
        <is>
          <t xml:space="preserve">m </t>
        </is>
      </c>
      <c r="G68" s="17" t="n">
        <v>1330.75</v>
      </c>
      <c r="H68" s="17" t="n"/>
      <c r="I68" s="17" t="n"/>
      <c r="J68" s="17" t="n"/>
      <c r="K68" s="17" t="n"/>
      <c r="L68" s="17" t="n"/>
      <c r="M68" s="23" t="n"/>
    </row>
    <row r="69">
      <c r="A69" s="15" t="n">
        <v>13</v>
      </c>
      <c r="B69" s="19" t="inlineStr">
        <is>
          <t>Bảo ôn ống đồng Ø19.1 dày 19mm</t>
        </is>
      </c>
      <c r="C69" s="19" t="n"/>
      <c r="D69" s="19" t="n"/>
      <c r="E69" s="19" t="n"/>
      <c r="F69" s="15" t="inlineStr">
        <is>
          <t xml:space="preserve">m </t>
        </is>
      </c>
      <c r="G69" s="17" t="n">
        <v>521.65</v>
      </c>
      <c r="H69" s="17" t="n"/>
      <c r="I69" s="17" t="n"/>
      <c r="J69" s="17" t="n"/>
      <c r="K69" s="17" t="n"/>
      <c r="L69" s="17" t="n"/>
      <c r="M69" s="23" t="n"/>
    </row>
    <row r="70">
      <c r="A70" s="15" t="n">
        <v>14</v>
      </c>
      <c r="B70" s="19" t="inlineStr">
        <is>
          <t>Bảo ôn ống đồng Ø22.2 dày 19mm</t>
        </is>
      </c>
      <c r="C70" s="19" t="n"/>
      <c r="D70" s="19" t="n"/>
      <c r="E70" s="19" t="n"/>
      <c r="F70" s="15" t="inlineStr">
        <is>
          <t xml:space="preserve">m </t>
        </is>
      </c>
      <c r="G70" s="17" t="n">
        <v>96.25000000000001</v>
      </c>
      <c r="H70" s="17" t="n"/>
      <c r="I70" s="17" t="n"/>
      <c r="J70" s="17" t="n"/>
      <c r="K70" s="17" t="n"/>
      <c r="L70" s="17" t="n"/>
      <c r="M70" s="23" t="n"/>
    </row>
    <row r="71">
      <c r="A71" s="15" t="n">
        <v>15</v>
      </c>
      <c r="B71" s="19" t="inlineStr">
        <is>
          <t>Bảo ôn ống đồng Ø28.6 dày 19mm</t>
        </is>
      </c>
      <c r="C71" s="19" t="n"/>
      <c r="D71" s="19" t="n"/>
      <c r="E71" s="19" t="n"/>
      <c r="F71" s="15" t="inlineStr">
        <is>
          <t xml:space="preserve">m </t>
        </is>
      </c>
      <c r="G71" s="17" t="n">
        <v>932.7499999999999</v>
      </c>
      <c r="H71" s="17" t="n"/>
      <c r="I71" s="17" t="n"/>
      <c r="J71" s="17" t="n"/>
      <c r="K71" s="17" t="n"/>
      <c r="L71" s="17" t="n"/>
      <c r="M71" s="23" t="n"/>
    </row>
    <row r="72">
      <c r="A72" s="15" t="n">
        <v>16</v>
      </c>
      <c r="B72" s="19" t="inlineStr">
        <is>
          <t>Bảo ôn ống đồng Ø34.9 dày 19mm</t>
        </is>
      </c>
      <c r="C72" s="19" t="n"/>
      <c r="D72" s="19" t="n"/>
      <c r="E72" s="19" t="n"/>
      <c r="F72" s="15" t="inlineStr">
        <is>
          <t xml:space="preserve">m </t>
        </is>
      </c>
      <c r="G72" s="17" t="n">
        <v>19.55</v>
      </c>
      <c r="H72" s="17" t="n"/>
      <c r="I72" s="17" t="n"/>
      <c r="J72" s="17" t="n"/>
      <c r="K72" s="17" t="n"/>
      <c r="L72" s="17" t="n"/>
      <c r="M72" s="23" t="n"/>
    </row>
    <row r="73">
      <c r="A73" s="15" t="n">
        <v>17</v>
      </c>
      <c r="B73" s="19" t="inlineStr">
        <is>
          <t>Bảo ôn ống đồng Ø41.3 dày 19mm</t>
        </is>
      </c>
      <c r="C73" s="19" t="n"/>
      <c r="D73" s="19" t="n"/>
      <c r="E73" s="19" t="n"/>
      <c r="F73" s="15" t="inlineStr">
        <is>
          <t xml:space="preserve">m </t>
        </is>
      </c>
      <c r="G73" s="17" t="n">
        <v>402.15</v>
      </c>
      <c r="H73" s="17" t="n"/>
      <c r="I73" s="17" t="n"/>
      <c r="J73" s="17" t="n"/>
      <c r="K73" s="17" t="n"/>
      <c r="L73" s="17" t="n"/>
      <c r="M73" s="23" t="n"/>
    </row>
    <row r="74">
      <c r="A74" s="15" t="n">
        <v>18</v>
      </c>
      <c r="B74" s="19" t="inlineStr">
        <is>
          <t>Giá đỡ ống đồng</t>
        </is>
      </c>
      <c r="C74" s="19" t="n"/>
      <c r="D74" s="19" t="n"/>
      <c r="E74" s="19" t="n"/>
      <c r="F74" s="15" t="inlineStr">
        <is>
          <t>bộ</t>
        </is>
      </c>
      <c r="G74" s="17" t="n">
        <v>2192</v>
      </c>
      <c r="H74" s="17" t="n"/>
      <c r="I74" s="17" t="n"/>
      <c r="J74" s="17" t="n"/>
      <c r="K74" s="17" t="n"/>
      <c r="L74" s="17" t="n"/>
      <c r="M74" s="23" t="n"/>
    </row>
    <row r="75">
      <c r="A75" s="15" t="n">
        <v>19</v>
      </c>
      <c r="B75" s="19" t="inlineStr">
        <is>
          <t>Vật tư phụ</t>
        </is>
      </c>
      <c r="C75" s="19" t="n"/>
      <c r="D75" s="19" t="n"/>
      <c r="E75" s="19" t="n"/>
      <c r="F75" s="15" t="inlineStr">
        <is>
          <t>lô</t>
        </is>
      </c>
      <c r="G75" s="17" t="n">
        <v>1</v>
      </c>
      <c r="H75" s="17" t="n"/>
      <c r="I75" s="17" t="n"/>
      <c r="J75" s="17" t="n"/>
      <c r="K75" s="17" t="n"/>
      <c r="L75" s="17" t="n"/>
      <c r="M75" s="23" t="n"/>
    </row>
    <row r="76">
      <c r="A76" s="10" t="inlineStr">
        <is>
          <t>V</t>
        </is>
      </c>
      <c r="B76" s="18" t="inlineStr">
        <is>
          <t>Ống nước ngưng kèm bảo ôn</t>
        </is>
      </c>
      <c r="C76" s="18" t="n"/>
      <c r="D76" s="18" t="n"/>
      <c r="E76" s="18" t="n"/>
      <c r="F76" s="10" t="n"/>
      <c r="G76" s="17" t="n">
        <v>0</v>
      </c>
      <c r="H76" s="17" t="n"/>
      <c r="I76" s="17" t="n"/>
      <c r="J76" s="17" t="n"/>
      <c r="K76" s="17" t="n"/>
      <c r="L76" s="17" t="n"/>
      <c r="M76" s="23" t="n"/>
    </row>
    <row r="77">
      <c r="A77" s="15" t="n">
        <v>1</v>
      </c>
      <c r="B77" s="19" t="inlineStr">
        <is>
          <t>Ống nước ngưng D27</t>
        </is>
      </c>
      <c r="C77" s="19" t="n"/>
      <c r="D77" s="19" t="n"/>
      <c r="E77" s="19" t="n"/>
      <c r="F77" s="15" t="inlineStr">
        <is>
          <t xml:space="preserve">m </t>
        </is>
      </c>
      <c r="G77" s="17" t="n">
        <v>896</v>
      </c>
      <c r="H77" s="17" t="n"/>
      <c r="I77" s="17" t="n"/>
      <c r="J77" s="17" t="n"/>
      <c r="K77" s="17" t="n"/>
      <c r="L77" s="17" t="n"/>
      <c r="M77" s="23" t="n"/>
    </row>
    <row r="78">
      <c r="A78" s="15" t="n">
        <v>2</v>
      </c>
      <c r="B78" s="19" t="inlineStr">
        <is>
          <t>Ống nước ngưng D34</t>
        </is>
      </c>
      <c r="C78" s="19" t="n"/>
      <c r="D78" s="19" t="n"/>
      <c r="E78" s="19" t="n"/>
      <c r="F78" s="15" t="inlineStr">
        <is>
          <t xml:space="preserve">m </t>
        </is>
      </c>
      <c r="G78" s="17" t="n">
        <v>68.90000000000001</v>
      </c>
      <c r="H78" s="17" t="n"/>
      <c r="I78" s="17" t="n"/>
      <c r="J78" s="17" t="n"/>
      <c r="K78" s="17" t="n"/>
      <c r="L78" s="17" t="n"/>
      <c r="M78" s="23" t="n"/>
    </row>
    <row r="79">
      <c r="A79" s="15" t="n">
        <v>3</v>
      </c>
      <c r="B79" s="19" t="inlineStr">
        <is>
          <t>Ống nước ngưng D42</t>
        </is>
      </c>
      <c r="C79" s="19" t="n"/>
      <c r="D79" s="19" t="n"/>
      <c r="E79" s="19" t="n"/>
      <c r="F79" s="15" t="inlineStr">
        <is>
          <t xml:space="preserve">m </t>
        </is>
      </c>
      <c r="G79" s="17" t="n">
        <v>427</v>
      </c>
      <c r="H79" s="17" t="n"/>
      <c r="I79" s="17" t="n"/>
      <c r="J79" s="17" t="n"/>
      <c r="K79" s="17" t="n"/>
      <c r="L79" s="17" t="n"/>
      <c r="M79" s="23" t="n"/>
    </row>
    <row r="80">
      <c r="A80" s="15" t="n">
        <v>4</v>
      </c>
      <c r="B80" s="19" t="inlineStr">
        <is>
          <t>Ống nước ngưng D48</t>
        </is>
      </c>
      <c r="C80" s="19" t="n"/>
      <c r="D80" s="19" t="n"/>
      <c r="E80" s="19" t="n"/>
      <c r="F80" s="15" t="inlineStr">
        <is>
          <t xml:space="preserve">m </t>
        </is>
      </c>
      <c r="G80" s="17" t="n">
        <v>8</v>
      </c>
      <c r="H80" s="17" t="n"/>
      <c r="I80" s="17" t="n"/>
      <c r="J80" s="17" t="n"/>
      <c r="K80" s="17" t="n"/>
      <c r="L80" s="17" t="n"/>
      <c r="M80" s="23" t="n"/>
    </row>
    <row r="81">
      <c r="A81" s="15" t="n">
        <v>5</v>
      </c>
      <c r="B81" s="19" t="inlineStr">
        <is>
          <t>Ống nước ngưng D60</t>
        </is>
      </c>
      <c r="C81" s="19" t="n"/>
      <c r="D81" s="19" t="n"/>
      <c r="E81" s="19" t="n"/>
      <c r="F81" s="15" t="inlineStr">
        <is>
          <t xml:space="preserve">m </t>
        </is>
      </c>
      <c r="G81" s="17" t="n">
        <v>161</v>
      </c>
      <c r="H81" s="17" t="n"/>
      <c r="I81" s="17" t="n"/>
      <c r="J81" s="17" t="n"/>
      <c r="K81" s="17" t="n"/>
      <c r="L81" s="17" t="n"/>
      <c r="M81" s="23" t="n"/>
    </row>
    <row r="82">
      <c r="A82" s="15" t="n">
        <v>6</v>
      </c>
      <c r="B82" s="19" t="inlineStr">
        <is>
          <t>Ống nước ngưng D90</t>
        </is>
      </c>
      <c r="C82" s="19" t="n"/>
      <c r="D82" s="19" t="n"/>
      <c r="E82" s="19" t="n"/>
      <c r="F82" s="15" t="inlineStr">
        <is>
          <t xml:space="preserve">m </t>
        </is>
      </c>
      <c r="G82" s="17" t="n">
        <v>160</v>
      </c>
      <c r="H82" s="17" t="n"/>
      <c r="I82" s="17" t="n"/>
      <c r="J82" s="17" t="n"/>
      <c r="K82" s="17" t="n"/>
      <c r="L82" s="17" t="n"/>
      <c r="M82" s="23" t="n"/>
    </row>
    <row r="83">
      <c r="A83" s="15" t="n">
        <v>7</v>
      </c>
      <c r="B83" s="19" t="inlineStr">
        <is>
          <t>Phụ kiện ống thoát nước ngưng</t>
        </is>
      </c>
      <c r="C83" s="19" t="n"/>
      <c r="D83" s="19" t="n"/>
      <c r="E83" s="19" t="n"/>
      <c r="F83" s="15" t="inlineStr">
        <is>
          <t>lô</t>
        </is>
      </c>
      <c r="G83" s="17" t="n">
        <v>1</v>
      </c>
      <c r="H83" s="17" t="n"/>
      <c r="I83" s="17" t="n"/>
      <c r="J83" s="17" t="n"/>
      <c r="K83" s="17" t="n"/>
      <c r="L83" s="17" t="n"/>
      <c r="M83" s="23" t="n"/>
    </row>
    <row r="84">
      <c r="A84" s="15" t="n">
        <v>8</v>
      </c>
      <c r="B84" s="19" t="inlineStr">
        <is>
          <t>Bảo ôn ống nước ngưng D27 dày 13mm</t>
        </is>
      </c>
      <c r="C84" s="19" t="n"/>
      <c r="D84" s="19" t="n"/>
      <c r="E84" s="19" t="n"/>
      <c r="F84" s="15" t="inlineStr">
        <is>
          <t xml:space="preserve">m </t>
        </is>
      </c>
      <c r="G84" s="17" t="n">
        <v>896</v>
      </c>
      <c r="H84" s="17" t="n"/>
      <c r="I84" s="17" t="n"/>
      <c r="J84" s="17" t="n"/>
      <c r="K84" s="17" t="n"/>
      <c r="L84" s="17" t="n"/>
      <c r="M84" s="23" t="n"/>
    </row>
    <row r="85">
      <c r="A85" s="15" t="n">
        <v>9</v>
      </c>
      <c r="B85" s="19" t="inlineStr">
        <is>
          <t>Bảo ôn ống nước ngưng D34 dày 13mm</t>
        </is>
      </c>
      <c r="C85" s="19" t="n"/>
      <c r="D85" s="19" t="n"/>
      <c r="E85" s="19" t="n"/>
      <c r="F85" s="15" t="inlineStr">
        <is>
          <t xml:space="preserve">m </t>
        </is>
      </c>
      <c r="G85" s="17" t="n">
        <v>68.90000000000001</v>
      </c>
      <c r="H85" s="17" t="n"/>
      <c r="I85" s="17" t="n"/>
      <c r="J85" s="17" t="n"/>
      <c r="K85" s="17" t="n"/>
      <c r="L85" s="17" t="n"/>
      <c r="M85" s="23" t="n"/>
    </row>
    <row r="86">
      <c r="A86" s="15" t="n">
        <v>10</v>
      </c>
      <c r="B86" s="19" t="inlineStr">
        <is>
          <t>Bảo ôn ống nước ngưng D42 dày 13mm</t>
        </is>
      </c>
      <c r="C86" s="19" t="n"/>
      <c r="D86" s="19" t="n"/>
      <c r="E86" s="19" t="n"/>
      <c r="F86" s="15" t="inlineStr">
        <is>
          <t xml:space="preserve">m </t>
        </is>
      </c>
      <c r="G86" s="17" t="n">
        <v>427</v>
      </c>
      <c r="H86" s="17" t="n"/>
      <c r="I86" s="17" t="n"/>
      <c r="J86" s="17" t="n"/>
      <c r="K86" s="17" t="n"/>
      <c r="L86" s="17" t="n"/>
      <c r="M86" s="23" t="n"/>
    </row>
    <row r="87">
      <c r="A87" s="15" t="n">
        <v>11</v>
      </c>
      <c r="B87" s="19" t="inlineStr">
        <is>
          <t>Bảo ôn ống nước ngưng D48 dày 13mm</t>
        </is>
      </c>
      <c r="C87" s="19" t="n"/>
      <c r="D87" s="19" t="n"/>
      <c r="E87" s="19" t="n"/>
      <c r="F87" s="15" t="inlineStr">
        <is>
          <t xml:space="preserve">m </t>
        </is>
      </c>
      <c r="G87" s="17" t="n">
        <v>8</v>
      </c>
      <c r="H87" s="17" t="n"/>
      <c r="I87" s="17" t="n"/>
      <c r="J87" s="17" t="n"/>
      <c r="K87" s="17" t="n"/>
      <c r="L87" s="17" t="n"/>
      <c r="M87" s="23" t="n"/>
    </row>
    <row r="88">
      <c r="A88" s="15" t="n">
        <v>12</v>
      </c>
      <c r="B88" s="19" t="inlineStr">
        <is>
          <t>Bảo ôn ống nước ngưng D60 dày 13mm</t>
        </is>
      </c>
      <c r="C88" s="19" t="n"/>
      <c r="D88" s="19" t="n"/>
      <c r="E88" s="19" t="n"/>
      <c r="F88" s="15" t="inlineStr">
        <is>
          <t xml:space="preserve">m </t>
        </is>
      </c>
      <c r="G88" s="17" t="n">
        <v>161</v>
      </c>
      <c r="H88" s="17" t="n"/>
      <c r="I88" s="17" t="n"/>
      <c r="J88" s="17" t="n"/>
      <c r="K88" s="17" t="n"/>
      <c r="L88" s="17" t="n"/>
      <c r="M88" s="23" t="n"/>
    </row>
    <row r="89">
      <c r="A89" s="15" t="n">
        <v>13</v>
      </c>
      <c r="B89" s="19" t="inlineStr">
        <is>
          <t>Bảo ôn ống nước ngưng D90 dày 13mm</t>
        </is>
      </c>
      <c r="C89" s="19" t="n"/>
      <c r="D89" s="19" t="n"/>
      <c r="E89" s="19" t="n"/>
      <c r="F89" s="15" t="inlineStr">
        <is>
          <t xml:space="preserve">m </t>
        </is>
      </c>
      <c r="G89" s="17" t="n">
        <v>100</v>
      </c>
      <c r="H89" s="17" t="n"/>
      <c r="I89" s="17" t="n"/>
      <c r="J89" s="17" t="n"/>
      <c r="K89" s="17" t="n"/>
      <c r="L89" s="17" t="n"/>
      <c r="M89" s="23" t="n"/>
    </row>
    <row r="90">
      <c r="A90" s="15" t="n">
        <v>14</v>
      </c>
      <c r="B90" s="19" t="inlineStr">
        <is>
          <t>Giá đỡ ống đồng</t>
        </is>
      </c>
      <c r="C90" s="19" t="n"/>
      <c r="D90" s="19" t="n"/>
      <c r="E90" s="19" t="n"/>
      <c r="F90" s="15" t="inlineStr">
        <is>
          <t>bộ</t>
        </is>
      </c>
      <c r="G90" s="17" t="n">
        <v>1660</v>
      </c>
      <c r="H90" s="17" t="n"/>
      <c r="I90" s="17" t="n"/>
      <c r="J90" s="17" t="n"/>
      <c r="K90" s="17" t="n"/>
      <c r="L90" s="17" t="n"/>
      <c r="M90" s="23" t="n"/>
    </row>
    <row r="91">
      <c r="A91" s="15" t="n">
        <v>15</v>
      </c>
      <c r="B91" s="19" t="inlineStr">
        <is>
          <t>Vật tư phụ</t>
        </is>
      </c>
      <c r="C91" s="19" t="n"/>
      <c r="D91" s="19" t="n"/>
      <c r="E91" s="19" t="n"/>
      <c r="F91" s="15" t="inlineStr">
        <is>
          <t>lô</t>
        </is>
      </c>
      <c r="G91" s="17" t="n">
        <v>1</v>
      </c>
      <c r="H91" s="17" t="n"/>
      <c r="I91" s="17" t="n"/>
      <c r="J91" s="17" t="n"/>
      <c r="K91" s="17" t="n"/>
      <c r="L91" s="17" t="n"/>
      <c r="M91" s="23" t="n"/>
    </row>
    <row r="92" ht="25.5" customFormat="1" customHeight="1" s="3">
      <c r="A92" s="10" t="inlineStr">
        <is>
          <t>VI</t>
        </is>
      </c>
      <c r="B92" s="18" t="inlineStr">
        <is>
          <t>Ống gió lạnh kèm phụ kiện</t>
        </is>
      </c>
      <c r="C92" s="18" t="n"/>
      <c r="D92" s="18" t="n"/>
      <c r="E92" s="18" t="n"/>
      <c r="F92" s="10" t="n"/>
      <c r="G92" s="17" t="n">
        <v>0</v>
      </c>
      <c r="H92" s="17" t="n"/>
      <c r="I92" s="17" t="n"/>
      <c r="J92" s="17" t="n"/>
      <c r="K92" s="17" t="n"/>
      <c r="L92" s="17" t="n"/>
      <c r="M92" s="13" t="n"/>
    </row>
    <row r="93">
      <c r="A93" s="15" t="n">
        <v>1</v>
      </c>
      <c r="B93" s="28" t="inlineStr">
        <is>
          <t>Ống gió mềm kèm bảo ôn D200</t>
        </is>
      </c>
      <c r="C93" s="28" t="n"/>
      <c r="D93" s="28" t="n"/>
      <c r="E93" s="28" t="n"/>
      <c r="F93" s="15" t="inlineStr">
        <is>
          <t>m</t>
        </is>
      </c>
      <c r="G93" s="17" t="n">
        <v>1032</v>
      </c>
      <c r="H93" s="17" t="n"/>
      <c r="I93" s="17" t="n"/>
      <c r="J93" s="17" t="n"/>
      <c r="K93" s="17" t="n"/>
      <c r="L93" s="17" t="n"/>
      <c r="M93" s="23" t="n"/>
    </row>
    <row r="94">
      <c r="A94" s="15" t="n">
        <v>2</v>
      </c>
      <c r="B94" s="28" t="inlineStr">
        <is>
          <t>Ống gió mềm kèm bảo ôn D250</t>
        </is>
      </c>
      <c r="C94" s="28" t="n"/>
      <c r="D94" s="28" t="n"/>
      <c r="E94" s="28" t="n"/>
      <c r="F94" s="15" t="inlineStr">
        <is>
          <t>m</t>
        </is>
      </c>
      <c r="G94" s="17" t="n">
        <v>316</v>
      </c>
      <c r="H94" s="17" t="n"/>
      <c r="I94" s="17" t="n"/>
      <c r="J94" s="17" t="n"/>
      <c r="K94" s="17" t="n"/>
      <c r="L94" s="17" t="n"/>
      <c r="M94" s="23" t="n"/>
    </row>
    <row r="95">
      <c r="A95" s="15" t="n">
        <v>3</v>
      </c>
      <c r="B95" s="28" t="inlineStr">
        <is>
          <t>Ống gió mềm kèm bảo ôn D300</t>
        </is>
      </c>
      <c r="C95" s="28" t="n"/>
      <c r="D95" s="28" t="n"/>
      <c r="E95" s="28" t="n"/>
      <c r="F95" s="15" t="inlineStr">
        <is>
          <t>m</t>
        </is>
      </c>
      <c r="G95" s="17" t="n">
        <v>546</v>
      </c>
      <c r="H95" s="17" t="n"/>
      <c r="I95" s="17" t="n"/>
      <c r="J95" s="17" t="n"/>
      <c r="K95" s="17" t="n"/>
      <c r="L95" s="17" t="n"/>
      <c r="M95" s="23" t="n"/>
    </row>
    <row r="96">
      <c r="A96" s="15" t="n">
        <v>4</v>
      </c>
      <c r="B96" s="28" t="inlineStr">
        <is>
          <t>Hộp gió cấp/hồi cho dàn lạnh</t>
        </is>
      </c>
      <c r="C96" s="28" t="n"/>
      <c r="D96" s="28" t="n"/>
      <c r="E96" s="28" t="n"/>
      <c r="F96" s="15" t="inlineStr">
        <is>
          <t>bộ</t>
        </is>
      </c>
      <c r="G96" s="17" t="n">
        <v>170</v>
      </c>
      <c r="H96" s="17" t="n"/>
      <c r="I96" s="17" t="n"/>
      <c r="J96" s="17" t="n"/>
      <c r="K96" s="17" t="n"/>
      <c r="L96" s="17" t="n"/>
      <c r="M96" s="23" t="n"/>
    </row>
    <row r="97">
      <c r="A97" s="15" t="n">
        <v>5</v>
      </c>
      <c r="B97" s="28" t="inlineStr">
        <is>
          <t>Giá đỡ ống gió</t>
        </is>
      </c>
      <c r="C97" s="28" t="n"/>
      <c r="D97" s="28" t="n"/>
      <c r="E97" s="28" t="n"/>
      <c r="F97" s="15" t="inlineStr">
        <is>
          <t>lô</t>
        </is>
      </c>
      <c r="G97" s="17" t="n">
        <v>1</v>
      </c>
      <c r="H97" s="17" t="n"/>
      <c r="I97" s="17" t="n"/>
      <c r="J97" s="17" t="n"/>
      <c r="K97" s="17" t="n"/>
      <c r="L97" s="17" t="n"/>
      <c r="M97" s="23" t="n"/>
    </row>
    <row r="98">
      <c r="A98" s="15" t="n">
        <v>6</v>
      </c>
      <c r="B98" s="28" t="inlineStr">
        <is>
          <t>Vật tư phụ</t>
        </is>
      </c>
      <c r="C98" s="28" t="n"/>
      <c r="D98" s="28" t="n"/>
      <c r="E98" s="28" t="n"/>
      <c r="F98" s="15" t="inlineStr">
        <is>
          <t>lô</t>
        </is>
      </c>
      <c r="G98" s="17" t="n">
        <v>1</v>
      </c>
      <c r="H98" s="17" t="n"/>
      <c r="I98" s="17" t="n"/>
      <c r="J98" s="17" t="n"/>
      <c r="K98" s="17" t="n"/>
      <c r="L98" s="17" t="n"/>
      <c r="M98" s="23" t="n"/>
    </row>
    <row r="99" ht="25.5" customFormat="1" customHeight="1" s="3">
      <c r="A99" s="10" t="inlineStr">
        <is>
          <t>VII</t>
        </is>
      </c>
      <c r="B99" s="18" t="inlineStr">
        <is>
          <t>Ống gió cấp gió tươi</t>
        </is>
      </c>
      <c r="C99" s="18" t="n"/>
      <c r="D99" s="18" t="n"/>
      <c r="E99" s="18" t="n"/>
      <c r="F99" s="10" t="n"/>
      <c r="G99" s="17" t="n">
        <v>0</v>
      </c>
      <c r="H99" s="17" t="n"/>
      <c r="I99" s="17" t="n"/>
      <c r="J99" s="17" t="n"/>
      <c r="K99" s="17" t="n"/>
      <c r="L99" s="17" t="n"/>
      <c r="M99" s="13" t="n"/>
    </row>
    <row r="100">
      <c r="A100" s="15" t="n">
        <v>1</v>
      </c>
      <c r="B100" s="28" t="inlineStr">
        <is>
          <t>Tiêu âm đầu quạt</t>
        </is>
      </c>
      <c r="C100" s="28" t="n"/>
      <c r="D100" s="28" t="n"/>
      <c r="E100" s="28" t="n"/>
      <c r="F100" s="15" t="inlineStr">
        <is>
          <t>Bộ</t>
        </is>
      </c>
      <c r="G100" s="17" t="n">
        <v>16</v>
      </c>
      <c r="H100" s="17" t="n"/>
      <c r="I100" s="17" t="n"/>
      <c r="J100" s="17" t="n"/>
      <c r="K100" s="17" t="n"/>
      <c r="L100" s="17" t="n"/>
      <c r="M100" s="23" t="n"/>
    </row>
    <row r="101">
      <c r="A101" s="15" t="n">
        <v>2</v>
      </c>
      <c r="B101" s="28" t="inlineStr">
        <is>
          <t>Ống gió tôn tráng kẽm KT400x200</t>
        </is>
      </c>
      <c r="C101" s="28" t="n"/>
      <c r="D101" s="28" t="n"/>
      <c r="E101" s="28" t="n"/>
      <c r="F101" s="15" t="inlineStr">
        <is>
          <t>m</t>
        </is>
      </c>
      <c r="G101" s="17" t="n">
        <v>60</v>
      </c>
      <c r="H101" s="17" t="n"/>
      <c r="I101" s="17" t="n"/>
      <c r="J101" s="17" t="n"/>
      <c r="K101" s="17" t="n"/>
      <c r="L101" s="17" t="n"/>
      <c r="M101" s="23" t="n"/>
    </row>
    <row r="102">
      <c r="A102" s="15" t="n">
        <v>3</v>
      </c>
      <c r="B102" s="28" t="inlineStr">
        <is>
          <t>Ống gió tôn tráng kẽm KT300x200</t>
        </is>
      </c>
      <c r="C102" s="28" t="n"/>
      <c r="D102" s="28" t="n"/>
      <c r="E102" s="28" t="n"/>
      <c r="F102" s="15" t="inlineStr">
        <is>
          <t>m</t>
        </is>
      </c>
      <c r="G102" s="17" t="n">
        <v>144</v>
      </c>
      <c r="H102" s="17" t="n"/>
      <c r="I102" s="17" t="n"/>
      <c r="J102" s="17" t="n"/>
      <c r="K102" s="17" t="n"/>
      <c r="L102" s="17" t="n"/>
      <c r="M102" s="23" t="n"/>
    </row>
    <row r="103">
      <c r="A103" s="15" t="n">
        <v>4</v>
      </c>
      <c r="B103" s="28" t="inlineStr">
        <is>
          <t>Ống gió tôn tráng kẽm KT200x200</t>
        </is>
      </c>
      <c r="C103" s="28" t="n"/>
      <c r="D103" s="28" t="n"/>
      <c r="E103" s="28" t="n"/>
      <c r="F103" s="15" t="inlineStr">
        <is>
          <t>m</t>
        </is>
      </c>
      <c r="G103" s="17" t="n">
        <v>40</v>
      </c>
      <c r="H103" s="17" t="n"/>
      <c r="I103" s="17" t="n"/>
      <c r="J103" s="17" t="n"/>
      <c r="K103" s="17" t="n"/>
      <c r="L103" s="17" t="n"/>
      <c r="M103" s="23" t="n"/>
    </row>
    <row r="104">
      <c r="A104" s="15" t="n">
        <v>5</v>
      </c>
      <c r="B104" s="28" t="inlineStr">
        <is>
          <t>Ống gió tôn tráng kẽm KT150x100</t>
        </is>
      </c>
      <c r="C104" s="28" t="n"/>
      <c r="D104" s="28" t="n"/>
      <c r="E104" s="28" t="n"/>
      <c r="F104" s="15" t="inlineStr">
        <is>
          <t>m</t>
        </is>
      </c>
      <c r="G104" s="17" t="n">
        <v>110.4</v>
      </c>
      <c r="H104" s="17" t="n"/>
      <c r="I104" s="17" t="n"/>
      <c r="J104" s="17" t="n"/>
      <c r="K104" s="17" t="n"/>
      <c r="L104" s="17" t="n"/>
      <c r="M104" s="23" t="n"/>
    </row>
    <row r="105">
      <c r="A105" s="15" t="n">
        <v>6</v>
      </c>
      <c r="B105" s="28" t="inlineStr">
        <is>
          <t>Ống gió tôn tráng kẽm KT100x100</t>
        </is>
      </c>
      <c r="C105" s="28" t="n"/>
      <c r="D105" s="28" t="n"/>
      <c r="E105" s="28" t="n"/>
      <c r="F105" s="15" t="inlineStr">
        <is>
          <t>m</t>
        </is>
      </c>
      <c r="G105" s="17" t="n">
        <v>20</v>
      </c>
      <c r="H105" s="17" t="n"/>
      <c r="I105" s="17" t="n"/>
      <c r="J105" s="17" t="n"/>
      <c r="K105" s="17" t="n"/>
      <c r="L105" s="17" t="n"/>
      <c r="M105" s="23" t="n"/>
    </row>
    <row r="106">
      <c r="A106" s="15" t="n">
        <v>7</v>
      </c>
      <c r="B106" s="28" t="inlineStr">
        <is>
          <t>Phụ kiện ống gió</t>
        </is>
      </c>
      <c r="C106" s="28" t="n"/>
      <c r="D106" s="28" t="n"/>
      <c r="E106" s="28" t="n"/>
      <c r="F106" s="15" t="inlineStr">
        <is>
          <t>lô</t>
        </is>
      </c>
      <c r="G106" s="17" t="n">
        <v>1</v>
      </c>
      <c r="H106" s="17" t="n"/>
      <c r="I106" s="17" t="n"/>
      <c r="J106" s="17" t="n"/>
      <c r="K106" s="17" t="n"/>
      <c r="L106" s="17" t="n"/>
      <c r="M106" s="23" t="n"/>
    </row>
    <row r="107">
      <c r="A107" s="15" t="n">
        <v>8</v>
      </c>
      <c r="B107" s="28" t="inlineStr">
        <is>
          <t>Ống gió mềm không kèm bảo ôn D200</t>
        </is>
      </c>
      <c r="C107" s="28" t="n"/>
      <c r="D107" s="28" t="n"/>
      <c r="E107" s="28" t="n"/>
      <c r="F107" s="15" t="inlineStr">
        <is>
          <t>m</t>
        </is>
      </c>
      <c r="G107" s="17" t="n">
        <v>192</v>
      </c>
      <c r="H107" s="17" t="n"/>
      <c r="I107" s="17" t="n"/>
      <c r="J107" s="17" t="n"/>
      <c r="K107" s="17" t="n"/>
      <c r="L107" s="17" t="n"/>
      <c r="M107" s="23" t="n"/>
    </row>
    <row r="108">
      <c r="A108" s="15" t="n">
        <v>9</v>
      </c>
      <c r="B108" s="28" t="inlineStr">
        <is>
          <t>Giá đỡ ống gió</t>
        </is>
      </c>
      <c r="C108" s="28" t="n"/>
      <c r="D108" s="28" t="n"/>
      <c r="E108" s="28" t="n"/>
      <c r="F108" s="15" t="inlineStr">
        <is>
          <t>lô</t>
        </is>
      </c>
      <c r="G108" s="17" t="n">
        <v>1</v>
      </c>
      <c r="H108" s="17" t="n"/>
      <c r="I108" s="17" t="n"/>
      <c r="J108" s="17" t="n"/>
      <c r="K108" s="17" t="n"/>
      <c r="L108" s="17" t="n"/>
      <c r="M108" s="23" t="n"/>
    </row>
    <row r="109">
      <c r="A109" s="15" t="n">
        <v>10</v>
      </c>
      <c r="B109" s="28" t="inlineStr">
        <is>
          <t>Vật tư phụ</t>
        </is>
      </c>
      <c r="C109" s="28" t="n"/>
      <c r="D109" s="28" t="n"/>
      <c r="E109" s="28" t="n"/>
      <c r="F109" s="15" t="inlineStr">
        <is>
          <t>lô</t>
        </is>
      </c>
      <c r="G109" s="17" t="n">
        <v>1</v>
      </c>
      <c r="H109" s="17" t="n"/>
      <c r="I109" s="17" t="n"/>
      <c r="J109" s="17" t="n"/>
      <c r="K109" s="17" t="n"/>
      <c r="L109" s="17" t="n"/>
      <c r="M109" s="23" t="n"/>
    </row>
    <row r="110" ht="25.5" customFormat="1" customHeight="1" s="3">
      <c r="A110" s="10" t="inlineStr">
        <is>
          <t>VIII</t>
        </is>
      </c>
      <c r="B110" s="18" t="inlineStr">
        <is>
          <t>Ống gió hút khí thải</t>
        </is>
      </c>
      <c r="C110" s="18" t="n"/>
      <c r="D110" s="18" t="n"/>
      <c r="E110" s="18" t="n"/>
      <c r="F110" s="10" t="n"/>
      <c r="G110" s="17" t="n">
        <v>0</v>
      </c>
      <c r="H110" s="17" t="n"/>
      <c r="I110" s="17" t="n"/>
      <c r="J110" s="17" t="n"/>
      <c r="K110" s="17" t="n"/>
      <c r="L110" s="17" t="n"/>
      <c r="M110" s="13" t="n"/>
    </row>
    <row r="111">
      <c r="A111" s="15" t="n">
        <v>1</v>
      </c>
      <c r="B111" s="28" t="inlineStr">
        <is>
          <t>Tiêu âm đầu quạt</t>
        </is>
      </c>
      <c r="C111" s="28" t="n"/>
      <c r="D111" s="28" t="n"/>
      <c r="E111" s="28" t="n"/>
      <c r="F111" s="15" t="inlineStr">
        <is>
          <t>Bộ</t>
        </is>
      </c>
      <c r="G111" s="17" t="n">
        <v>16</v>
      </c>
      <c r="H111" s="17" t="n"/>
      <c r="I111" s="17" t="n"/>
      <c r="J111" s="17" t="n"/>
      <c r="K111" s="17" t="n"/>
      <c r="L111" s="17" t="n"/>
      <c r="M111" s="23" t="n"/>
    </row>
    <row r="112">
      <c r="A112" s="15" t="n">
        <v>2</v>
      </c>
      <c r="B112" s="28" t="inlineStr">
        <is>
          <t>Ống gió tôn tráng kẽm KT600x400</t>
        </is>
      </c>
      <c r="C112" s="28" t="n"/>
      <c r="D112" s="28" t="n"/>
      <c r="E112" s="28" t="n"/>
      <c r="F112" s="15" t="inlineStr">
        <is>
          <t>m</t>
        </is>
      </c>
      <c r="G112" s="17" t="n">
        <v>6</v>
      </c>
      <c r="H112" s="17" t="n"/>
      <c r="I112" s="17" t="n"/>
      <c r="J112" s="17" t="n"/>
      <c r="K112" s="17" t="n"/>
      <c r="L112" s="17" t="n"/>
      <c r="M112" s="23" t="n"/>
    </row>
    <row r="113">
      <c r="A113" s="15" t="n">
        <v>3</v>
      </c>
      <c r="B113" s="28" t="inlineStr">
        <is>
          <t>Ống gió tôn tráng kẽm KT500x200</t>
        </is>
      </c>
      <c r="C113" s="28" t="n"/>
      <c r="D113" s="28" t="n"/>
      <c r="E113" s="28" t="n"/>
      <c r="F113" s="15" t="inlineStr">
        <is>
          <t>m</t>
        </is>
      </c>
      <c r="G113" s="17" t="n">
        <v>18.1</v>
      </c>
      <c r="H113" s="17" t="n"/>
      <c r="I113" s="17" t="n"/>
      <c r="J113" s="17" t="n"/>
      <c r="K113" s="17" t="n"/>
      <c r="L113" s="17" t="n"/>
      <c r="M113" s="23" t="n"/>
    </row>
    <row r="114">
      <c r="A114" s="15" t="n">
        <v>4</v>
      </c>
      <c r="B114" s="28" t="inlineStr">
        <is>
          <t>Ống gió tôn tráng kẽm KT400x200</t>
        </is>
      </c>
      <c r="C114" s="28" t="n"/>
      <c r="D114" s="28" t="n"/>
      <c r="E114" s="28" t="n"/>
      <c r="F114" s="15" t="inlineStr">
        <is>
          <t>m</t>
        </is>
      </c>
      <c r="G114" s="17" t="n">
        <v>61.6</v>
      </c>
      <c r="H114" s="17" t="n"/>
      <c r="I114" s="17" t="n"/>
      <c r="J114" s="17" t="n"/>
      <c r="K114" s="17" t="n"/>
      <c r="L114" s="17" t="n"/>
      <c r="M114" s="23" t="n"/>
    </row>
    <row r="115">
      <c r="A115" s="15" t="n">
        <v>5</v>
      </c>
      <c r="B115" s="28" t="inlineStr">
        <is>
          <t>Ống gió tôn tráng kẽm KT400x150</t>
        </is>
      </c>
      <c r="C115" s="28" t="n"/>
      <c r="D115" s="28" t="n"/>
      <c r="E115" s="28" t="n"/>
      <c r="F115" s="15" t="inlineStr">
        <is>
          <t>m</t>
        </is>
      </c>
      <c r="G115" s="17" t="n">
        <v>1.8</v>
      </c>
      <c r="H115" s="17" t="n"/>
      <c r="I115" s="17" t="n"/>
      <c r="J115" s="17" t="n"/>
      <c r="K115" s="17" t="n"/>
      <c r="L115" s="17" t="n"/>
      <c r="M115" s="23" t="n"/>
    </row>
    <row r="116">
      <c r="A116" s="15" t="n">
        <v>6</v>
      </c>
      <c r="B116" s="28" t="inlineStr">
        <is>
          <t>Ống gió tôn tráng kẽm KT300x200</t>
        </is>
      </c>
      <c r="C116" s="28" t="n"/>
      <c r="D116" s="28" t="n"/>
      <c r="E116" s="28" t="n"/>
      <c r="F116" s="15" t="inlineStr">
        <is>
          <t>m</t>
        </is>
      </c>
      <c r="G116" s="17" t="n">
        <v>154.3</v>
      </c>
      <c r="H116" s="17" t="n"/>
      <c r="I116" s="17" t="n"/>
      <c r="J116" s="17" t="n"/>
      <c r="K116" s="17" t="n"/>
      <c r="L116" s="17" t="n"/>
      <c r="M116" s="23" t="n"/>
    </row>
    <row r="117">
      <c r="A117" s="15" t="n">
        <v>7</v>
      </c>
      <c r="B117" s="28" t="inlineStr">
        <is>
          <t>Ống gió tôn tráng kẽm KT200x200</t>
        </is>
      </c>
      <c r="C117" s="28" t="n"/>
      <c r="D117" s="28" t="n"/>
      <c r="E117" s="28" t="n"/>
      <c r="F117" s="15" t="inlineStr">
        <is>
          <t>m</t>
        </is>
      </c>
      <c r="G117" s="17" t="n">
        <v>94.60000000000001</v>
      </c>
      <c r="H117" s="17" t="n"/>
      <c r="I117" s="17" t="n"/>
      <c r="J117" s="17" t="n"/>
      <c r="K117" s="17" t="n"/>
      <c r="L117" s="17" t="n"/>
      <c r="M117" s="23" t="n"/>
    </row>
    <row r="118">
      <c r="A118" s="15" t="n">
        <v>8</v>
      </c>
      <c r="B118" s="28" t="inlineStr">
        <is>
          <t>Ống gió tôn tráng kẽm KT200x150</t>
        </is>
      </c>
      <c r="C118" s="28" t="n"/>
      <c r="D118" s="28" t="n"/>
      <c r="E118" s="28" t="n"/>
      <c r="F118" s="15" t="inlineStr">
        <is>
          <t>m</t>
        </is>
      </c>
      <c r="G118" s="17" t="n">
        <v>25.7</v>
      </c>
      <c r="H118" s="17" t="n"/>
      <c r="I118" s="17" t="n"/>
      <c r="J118" s="17" t="n"/>
      <c r="K118" s="17" t="n"/>
      <c r="L118" s="17" t="n"/>
      <c r="M118" s="23" t="n"/>
    </row>
    <row r="119">
      <c r="A119" s="15" t="n">
        <v>9</v>
      </c>
      <c r="B119" s="28" t="inlineStr">
        <is>
          <t>Ống gió tôn tráng kẽm KT150x100</t>
        </is>
      </c>
      <c r="C119" s="28" t="n"/>
      <c r="D119" s="28" t="n"/>
      <c r="E119" s="28" t="n"/>
      <c r="F119" s="15" t="inlineStr">
        <is>
          <t>m</t>
        </is>
      </c>
      <c r="G119" s="17" t="n">
        <v>86.2</v>
      </c>
      <c r="H119" s="17" t="n"/>
      <c r="I119" s="17" t="n"/>
      <c r="J119" s="17" t="n"/>
      <c r="K119" s="17" t="n"/>
      <c r="L119" s="17" t="n"/>
      <c r="M119" s="23" t="n"/>
    </row>
    <row r="120">
      <c r="A120" s="15" t="n">
        <v>10</v>
      </c>
      <c r="B120" s="28" t="inlineStr">
        <is>
          <t>Ống gió tôn tráng kẽm KT100x100</t>
        </is>
      </c>
      <c r="C120" s="28" t="n"/>
      <c r="D120" s="28" t="n"/>
      <c r="E120" s="28" t="n"/>
      <c r="F120" s="15" t="inlineStr">
        <is>
          <t>m</t>
        </is>
      </c>
      <c r="G120" s="17" t="n">
        <v>3.2</v>
      </c>
      <c r="H120" s="17" t="n"/>
      <c r="I120" s="17" t="n"/>
      <c r="J120" s="17" t="n"/>
      <c r="K120" s="17" t="n"/>
      <c r="L120" s="17" t="n"/>
      <c r="M120" s="23" t="n"/>
    </row>
    <row r="121">
      <c r="A121" s="15" t="n">
        <v>11</v>
      </c>
      <c r="B121" s="28" t="inlineStr">
        <is>
          <t>Phụ kiện ống gió</t>
        </is>
      </c>
      <c r="C121" s="28" t="n"/>
      <c r="D121" s="28" t="n"/>
      <c r="E121" s="28" t="n"/>
      <c r="F121" s="15" t="inlineStr">
        <is>
          <t>lô</t>
        </is>
      </c>
      <c r="G121" s="17" t="n">
        <v>1</v>
      </c>
      <c r="H121" s="17" t="n"/>
      <c r="I121" s="17" t="n"/>
      <c r="J121" s="17" t="n"/>
      <c r="K121" s="17" t="n"/>
      <c r="L121" s="17" t="n"/>
      <c r="M121" s="23" t="n"/>
    </row>
    <row r="122">
      <c r="A122" s="15" t="n">
        <v>12</v>
      </c>
      <c r="B122" s="28" t="inlineStr">
        <is>
          <t>Ống gió mềm không kèm bảo ôn D100</t>
        </is>
      </c>
      <c r="C122" s="28" t="n"/>
      <c r="D122" s="28" t="n"/>
      <c r="E122" s="28" t="n"/>
      <c r="F122" s="15" t="inlineStr">
        <is>
          <t>m</t>
        </is>
      </c>
      <c r="G122" s="17" t="n">
        <v>183</v>
      </c>
      <c r="H122" s="17" t="n"/>
      <c r="I122" s="17" t="n"/>
      <c r="J122" s="17" t="n"/>
      <c r="K122" s="17" t="n"/>
      <c r="L122" s="17" t="n"/>
      <c r="M122" s="23" t="n"/>
    </row>
    <row r="123">
      <c r="A123" s="15" t="n">
        <v>13</v>
      </c>
      <c r="B123" s="28" t="inlineStr">
        <is>
          <t>Ống gió mềm không kèm bảo ôn D150</t>
        </is>
      </c>
      <c r="C123" s="28" t="n"/>
      <c r="D123" s="28" t="n"/>
      <c r="E123" s="28" t="n"/>
      <c r="F123" s="15" t="inlineStr">
        <is>
          <t>m</t>
        </is>
      </c>
      <c r="G123" s="17" t="n">
        <v>12</v>
      </c>
      <c r="H123" s="17" t="n"/>
      <c r="I123" s="17" t="n"/>
      <c r="J123" s="17" t="n"/>
      <c r="K123" s="17" t="n"/>
      <c r="L123" s="17" t="n"/>
      <c r="M123" s="23" t="n"/>
    </row>
    <row r="124">
      <c r="A124" s="15" t="n">
        <v>14</v>
      </c>
      <c r="B124" s="28" t="inlineStr">
        <is>
          <t>Giá đỡ ống gió</t>
        </is>
      </c>
      <c r="C124" s="28" t="n"/>
      <c r="D124" s="28" t="n"/>
      <c r="E124" s="28" t="n"/>
      <c r="F124" s="15" t="inlineStr">
        <is>
          <t>lô</t>
        </is>
      </c>
      <c r="G124" s="17" t="n">
        <v>1</v>
      </c>
      <c r="H124" s="17" t="n"/>
      <c r="I124" s="17" t="n"/>
      <c r="J124" s="17" t="n"/>
      <c r="K124" s="17" t="n"/>
      <c r="L124" s="17" t="n"/>
      <c r="M124" s="23" t="n"/>
    </row>
    <row r="125">
      <c r="A125" s="15" t="n">
        <v>15</v>
      </c>
      <c r="B125" s="28" t="inlineStr">
        <is>
          <t>Vật tư phụ</t>
        </is>
      </c>
      <c r="C125" s="28" t="n"/>
      <c r="D125" s="28" t="n"/>
      <c r="E125" s="28" t="n"/>
      <c r="F125" s="15" t="inlineStr">
        <is>
          <t>lô</t>
        </is>
      </c>
      <c r="G125" s="17" t="n">
        <v>1</v>
      </c>
      <c r="H125" s="17" t="n"/>
      <c r="I125" s="17" t="n"/>
      <c r="J125" s="17" t="n"/>
      <c r="K125" s="17" t="n"/>
      <c r="L125" s="17" t="n"/>
      <c r="M125" s="23" t="n"/>
    </row>
    <row r="126" ht="25.5" customFormat="1" customHeight="1" s="3">
      <c r="A126" s="10" t="inlineStr">
        <is>
          <t>IX</t>
        </is>
      </c>
      <c r="B126" s="18" t="inlineStr">
        <is>
          <t>Ống gió hút thải bếp</t>
        </is>
      </c>
      <c r="C126" s="18" t="n"/>
      <c r="D126" s="18" t="n"/>
      <c r="E126" s="18" t="n"/>
      <c r="F126" s="10" t="n"/>
      <c r="G126" s="17" t="n">
        <v>0</v>
      </c>
      <c r="H126" s="17" t="n"/>
      <c r="I126" s="17" t="n"/>
      <c r="J126" s="17" t="n"/>
      <c r="K126" s="17" t="n"/>
      <c r="L126" s="17" t="n"/>
      <c r="M126" s="13" t="n"/>
    </row>
    <row r="127">
      <c r="A127" s="15" t="n">
        <v>1</v>
      </c>
      <c r="B127" s="28" t="inlineStr">
        <is>
          <t>Ống gió tôn tráng kẽm KT800x400</t>
        </is>
      </c>
      <c r="C127" s="28" t="n"/>
      <c r="D127" s="28" t="n"/>
      <c r="E127" s="28" t="n"/>
      <c r="F127" s="15" t="inlineStr">
        <is>
          <t>m</t>
        </is>
      </c>
      <c r="G127" s="17" t="n">
        <v>86.90000000000001</v>
      </c>
      <c r="H127" s="17" t="n"/>
      <c r="I127" s="17" t="n"/>
      <c r="J127" s="17" t="n"/>
      <c r="K127" s="17" t="n"/>
      <c r="L127" s="17" t="n"/>
      <c r="M127" s="23" t="n"/>
    </row>
    <row r="128">
      <c r="A128" s="15" t="n">
        <v>2</v>
      </c>
      <c r="B128" s="28" t="inlineStr">
        <is>
          <t>Phụ kiện ống gió</t>
        </is>
      </c>
      <c r="C128" s="28" t="n"/>
      <c r="D128" s="28" t="n"/>
      <c r="E128" s="28" t="n"/>
      <c r="F128" s="15" t="inlineStr">
        <is>
          <t>lô</t>
        </is>
      </c>
      <c r="G128" s="17" t="n">
        <v>1</v>
      </c>
      <c r="H128" s="17" t="n"/>
      <c r="I128" s="17" t="n"/>
      <c r="J128" s="17" t="n"/>
      <c r="K128" s="17" t="n"/>
      <c r="L128" s="17" t="n"/>
      <c r="M128" s="23" t="n"/>
    </row>
    <row r="129">
      <c r="A129" s="15" t="n">
        <v>3</v>
      </c>
      <c r="B129" s="28" t="inlineStr">
        <is>
          <t>Bọc cách nhiệt cho ống hút khói bếp</t>
        </is>
      </c>
      <c r="C129" s="28" t="n"/>
      <c r="D129" s="28" t="n"/>
      <c r="E129" s="28" t="n"/>
      <c r="F129" s="15" t="inlineStr">
        <is>
          <t>m2</t>
        </is>
      </c>
      <c r="G129" s="17" t="n">
        <v>222.464</v>
      </c>
      <c r="H129" s="17" t="n"/>
      <c r="I129" s="17" t="n"/>
      <c r="J129" s="17" t="n"/>
      <c r="K129" s="17" t="n"/>
      <c r="L129" s="17" t="n"/>
      <c r="M129" s="23" t="n"/>
    </row>
    <row r="130">
      <c r="A130" s="15" t="n">
        <v>4</v>
      </c>
      <c r="B130" s="28" t="inlineStr">
        <is>
          <t>Giá đỡ ống gió</t>
        </is>
      </c>
      <c r="C130" s="28" t="n"/>
      <c r="D130" s="28" t="n"/>
      <c r="E130" s="28" t="n"/>
      <c r="F130" s="15" t="inlineStr">
        <is>
          <t>bộ</t>
        </is>
      </c>
      <c r="G130" s="17" t="n">
        <v>44</v>
      </c>
      <c r="H130" s="17" t="n"/>
      <c r="I130" s="17" t="n"/>
      <c r="J130" s="17" t="n"/>
      <c r="K130" s="17" t="n"/>
      <c r="L130" s="17" t="n"/>
      <c r="M130" s="23" t="n"/>
    </row>
    <row r="131">
      <c r="A131" s="15" t="n">
        <v>5</v>
      </c>
      <c r="B131" s="28" t="inlineStr">
        <is>
          <t>Vật tư phụ</t>
        </is>
      </c>
      <c r="C131" s="28" t="n"/>
      <c r="D131" s="28" t="n"/>
      <c r="E131" s="28" t="n"/>
      <c r="F131" s="15" t="inlineStr">
        <is>
          <t>lô</t>
        </is>
      </c>
      <c r="G131" s="17" t="n">
        <v>1</v>
      </c>
      <c r="H131" s="17" t="n"/>
      <c r="I131" s="17" t="n"/>
      <c r="J131" s="17" t="n"/>
      <c r="K131" s="17" t="n"/>
      <c r="L131" s="17" t="n"/>
      <c r="M131" s="23" t="n"/>
    </row>
    <row r="132" ht="25.5" customFormat="1" customHeight="1" s="3">
      <c r="A132" s="10" t="inlineStr">
        <is>
          <t>X</t>
        </is>
      </c>
      <c r="B132" s="18" t="inlineStr">
        <is>
          <t>Van &amp; cửa gió</t>
        </is>
      </c>
      <c r="C132" s="18" t="n"/>
      <c r="D132" s="18" t="n"/>
      <c r="E132" s="18" t="n"/>
      <c r="F132" s="10" t="n"/>
      <c r="G132" s="17" t="n">
        <v>0</v>
      </c>
      <c r="H132" s="17" t="n"/>
      <c r="I132" s="17" t="n"/>
      <c r="J132" s="17" t="n"/>
      <c r="K132" s="17" t="n"/>
      <c r="L132" s="17" t="n"/>
      <c r="M132" s="13" t="n"/>
    </row>
    <row r="133">
      <c r="A133" s="15" t="n">
        <v>1</v>
      </c>
      <c r="B133" s="28" t="inlineStr">
        <is>
          <t>Van chặn lửa FD KT200x200</t>
        </is>
      </c>
      <c r="C133" s="28" t="n"/>
      <c r="D133" s="28" t="n"/>
      <c r="E133" s="28" t="n"/>
      <c r="F133" s="15" t="inlineStr">
        <is>
          <t>cái</t>
        </is>
      </c>
      <c r="G133" s="17" t="n">
        <v>20</v>
      </c>
      <c r="H133" s="17" t="n"/>
      <c r="I133" s="17" t="n"/>
      <c r="J133" s="17" t="n"/>
      <c r="K133" s="17" t="n"/>
      <c r="L133" s="17" t="n"/>
      <c r="M133" s="23" t="n"/>
    </row>
    <row r="134">
      <c r="A134" s="15" t="n">
        <v>2</v>
      </c>
      <c r="B134" s="28" t="inlineStr">
        <is>
          <t>Van điều chỉnh lưu lượng VCD KT200x200</t>
        </is>
      </c>
      <c r="C134" s="28" t="n"/>
      <c r="D134" s="28" t="n"/>
      <c r="E134" s="28" t="n"/>
      <c r="F134" s="15" t="n"/>
      <c r="G134" s="17" t="n">
        <v>15</v>
      </c>
      <c r="H134" s="17" t="n"/>
      <c r="I134" s="17" t="n"/>
      <c r="J134" s="17" t="n"/>
      <c r="K134" s="17" t="n"/>
      <c r="L134" s="17" t="n"/>
      <c r="M134" s="23" t="n"/>
    </row>
    <row r="135">
      <c r="A135" s="15" t="n">
        <v>3</v>
      </c>
      <c r="B135" s="28" t="inlineStr">
        <is>
          <t>Van điều chỉnh lưu lượng VCD D100</t>
        </is>
      </c>
      <c r="C135" s="28" t="n"/>
      <c r="D135" s="28" t="n"/>
      <c r="E135" s="28" t="n"/>
      <c r="F135" s="15" t="inlineStr">
        <is>
          <t>cái</t>
        </is>
      </c>
      <c r="G135" s="17" t="n">
        <v>96</v>
      </c>
      <c r="H135" s="17" t="n"/>
      <c r="I135" s="17" t="n"/>
      <c r="J135" s="17" t="n"/>
      <c r="K135" s="17" t="n"/>
      <c r="L135" s="17" t="n"/>
      <c r="M135" s="23" t="n"/>
    </row>
    <row r="136" ht="30" customHeight="1">
      <c r="A136" s="15" t="n">
        <v>4</v>
      </c>
      <c r="B136" s="28" t="inlineStr">
        <is>
          <t>Cửa gió Louver kèm lưới chắn côn trùng KT400x200</t>
        </is>
      </c>
      <c r="C136" s="28" t="n"/>
      <c r="D136" s="28" t="n"/>
      <c r="E136" s="28" t="n"/>
      <c r="F136" s="15" t="inlineStr">
        <is>
          <t>cái</t>
        </is>
      </c>
      <c r="G136" s="17" t="n">
        <v>1</v>
      </c>
      <c r="H136" s="17" t="n"/>
      <c r="I136" s="17" t="n"/>
      <c r="J136" s="17" t="n"/>
      <c r="K136" s="17" t="n"/>
      <c r="L136" s="17" t="n"/>
      <c r="M136" s="23" t="n"/>
    </row>
    <row r="137" ht="30" customHeight="1">
      <c r="A137" s="15" t="n">
        <v>5</v>
      </c>
      <c r="B137" s="28" t="inlineStr">
        <is>
          <t>Cửa gió Louver kèm lưới chắn côn trùng KT500x200</t>
        </is>
      </c>
      <c r="C137" s="28" t="n"/>
      <c r="D137" s="28" t="n"/>
      <c r="E137" s="28" t="n"/>
      <c r="F137" s="15" t="inlineStr">
        <is>
          <t>cái</t>
        </is>
      </c>
      <c r="G137" s="17" t="n">
        <v>4</v>
      </c>
      <c r="H137" s="17" t="n"/>
      <c r="I137" s="17" t="n"/>
      <c r="J137" s="17" t="n"/>
      <c r="K137" s="17" t="n"/>
      <c r="L137" s="17" t="n"/>
      <c r="M137" s="23" t="n"/>
    </row>
    <row r="138" ht="30" customHeight="1">
      <c r="A138" s="15" t="n">
        <v>6</v>
      </c>
      <c r="B138" s="28" t="inlineStr">
        <is>
          <t>Cửa gió Louver kèm lưới chắn côn trùng KT600x300</t>
        </is>
      </c>
      <c r="C138" s="28" t="n"/>
      <c r="D138" s="28" t="n"/>
      <c r="E138" s="28" t="n"/>
      <c r="F138" s="15" t="inlineStr">
        <is>
          <t>cái</t>
        </is>
      </c>
      <c r="G138" s="17" t="n">
        <v>1</v>
      </c>
      <c r="H138" s="17" t="n"/>
      <c r="I138" s="17" t="n"/>
      <c r="J138" s="17" t="n"/>
      <c r="K138" s="17" t="n"/>
      <c r="L138" s="17" t="n"/>
      <c r="M138" s="23" t="n"/>
    </row>
    <row r="139" ht="30" customHeight="1">
      <c r="A139" s="15" t="n">
        <v>7</v>
      </c>
      <c r="B139" s="28" t="inlineStr">
        <is>
          <t>Cửa gió Louver kèm lưới chắn côn trùng KT800x300</t>
        </is>
      </c>
      <c r="C139" s="28" t="n"/>
      <c r="D139" s="28" t="n"/>
      <c r="E139" s="28" t="n"/>
      <c r="F139" s="15" t="inlineStr">
        <is>
          <t>cái</t>
        </is>
      </c>
      <c r="G139" s="17" t="n">
        <v>12</v>
      </c>
      <c r="H139" s="17" t="n"/>
      <c r="I139" s="17" t="n"/>
      <c r="J139" s="17" t="n"/>
      <c r="K139" s="17" t="n"/>
      <c r="L139" s="17" t="n"/>
      <c r="M139" s="23" t="n"/>
    </row>
    <row r="140" ht="30" customHeight="1">
      <c r="A140" s="15" t="n">
        <v>8</v>
      </c>
      <c r="B140" s="28" t="inlineStr">
        <is>
          <t>Cửa gió Louver kèm lưới chắn côn trùng KT900x300</t>
        </is>
      </c>
      <c r="C140" s="28" t="n"/>
      <c r="D140" s="28" t="n"/>
      <c r="E140" s="28" t="n"/>
      <c r="F140" s="15" t="inlineStr">
        <is>
          <t>cái</t>
        </is>
      </c>
      <c r="G140" s="17" t="n">
        <v>8</v>
      </c>
      <c r="H140" s="17" t="n"/>
      <c r="I140" s="17" t="n"/>
      <c r="J140" s="17" t="n"/>
      <c r="K140" s="17" t="n"/>
      <c r="L140" s="17" t="n"/>
      <c r="M140" s="23" t="n"/>
    </row>
    <row r="141" ht="30" customHeight="1">
      <c r="A141" s="15" t="n">
        <v>9</v>
      </c>
      <c r="B141" s="28" t="inlineStr">
        <is>
          <t>Cửa gió Louver kèm lưới chắn côn trùng KT1000x200</t>
        </is>
      </c>
      <c r="C141" s="28" t="n"/>
      <c r="D141" s="28" t="n"/>
      <c r="E141" s="28" t="n"/>
      <c r="F141" s="15" t="inlineStr">
        <is>
          <t>cái</t>
        </is>
      </c>
      <c r="G141" s="17" t="n">
        <v>1</v>
      </c>
      <c r="H141" s="17" t="n"/>
      <c r="I141" s="17" t="n"/>
      <c r="J141" s="17" t="n"/>
      <c r="K141" s="17" t="n"/>
      <c r="L141" s="17" t="n"/>
      <c r="M141" s="23" t="n"/>
    </row>
    <row r="142" ht="30" customHeight="1">
      <c r="A142" s="15" t="n">
        <v>10</v>
      </c>
      <c r="B142" s="28" t="inlineStr">
        <is>
          <t>Cửa gió cấp loại khuếch tán kèm OBD KT600x600</t>
        </is>
      </c>
      <c r="C142" s="28" t="n"/>
      <c r="D142" s="28" t="n"/>
      <c r="E142" s="28" t="n"/>
      <c r="F142" s="15" t="inlineStr">
        <is>
          <t>cái</t>
        </is>
      </c>
      <c r="G142" s="17" t="n">
        <v>90</v>
      </c>
      <c r="H142" s="17" t="n"/>
      <c r="I142" s="17" t="n"/>
      <c r="J142" s="17" t="n"/>
      <c r="K142" s="17" t="n"/>
      <c r="L142" s="17" t="n"/>
      <c r="M142" s="23" t="n"/>
    </row>
    <row r="143" ht="21" customHeight="1">
      <c r="A143" s="15" t="n">
        <v>11</v>
      </c>
      <c r="B143" s="28" t="inlineStr">
        <is>
          <t>Cửa gió hồi nan thẳng KT600x600</t>
        </is>
      </c>
      <c r="C143" s="28" t="n"/>
      <c r="D143" s="28" t="n"/>
      <c r="E143" s="28" t="n"/>
      <c r="F143" s="15" t="inlineStr">
        <is>
          <t>cái</t>
        </is>
      </c>
      <c r="G143" s="17" t="n">
        <v>90</v>
      </c>
      <c r="H143" s="17" t="n"/>
      <c r="I143" s="17" t="n"/>
      <c r="J143" s="17" t="n"/>
      <c r="K143" s="17" t="n"/>
      <c r="L143" s="17" t="n"/>
      <c r="M143" s="23" t="n"/>
    </row>
    <row r="144" ht="30" customHeight="1">
      <c r="A144" s="15" t="n">
        <v>12</v>
      </c>
      <c r="B144" s="28" t="inlineStr">
        <is>
          <t>SAG Cửa cấp gió tươi kèm OBD KT 1200x150</t>
        </is>
      </c>
      <c r="C144" s="28" t="n"/>
      <c r="D144" s="28" t="n"/>
      <c r="E144" s="28" t="n"/>
      <c r="F144" s="15" t="inlineStr">
        <is>
          <t>cái</t>
        </is>
      </c>
      <c r="G144" s="17" t="n">
        <v>121</v>
      </c>
      <c r="H144" s="17" t="n"/>
      <c r="I144" s="17" t="n"/>
      <c r="J144" s="17" t="n"/>
      <c r="K144" s="17" t="n"/>
      <c r="L144" s="17" t="n"/>
      <c r="M144" s="23" t="n"/>
    </row>
    <row r="145" ht="30" customHeight="1">
      <c r="A145" s="15" t="n">
        <v>13</v>
      </c>
      <c r="B145" s="28" t="inlineStr">
        <is>
          <t>EAG Cửa hút gió thải kèm OBD KT 1200x150</t>
        </is>
      </c>
      <c r="C145" s="28" t="n"/>
      <c r="D145" s="28" t="n"/>
      <c r="E145" s="28" t="n"/>
      <c r="F145" s="15" t="inlineStr">
        <is>
          <t>cái</t>
        </is>
      </c>
      <c r="G145" s="17" t="n">
        <v>121</v>
      </c>
      <c r="H145" s="17" t="n"/>
      <c r="I145" s="17" t="n"/>
      <c r="J145" s="17" t="n"/>
      <c r="K145" s="17" t="n"/>
      <c r="L145" s="17" t="n"/>
      <c r="M145" s="23" t="n"/>
    </row>
    <row r="146">
      <c r="A146" s="15" t="n">
        <v>14</v>
      </c>
      <c r="B146" s="28" t="inlineStr">
        <is>
          <t>EAG Cửa hút gió thải kèm OBD KT 300x200</t>
        </is>
      </c>
      <c r="C146" s="28" t="n"/>
      <c r="D146" s="28" t="n"/>
      <c r="E146" s="28" t="n"/>
      <c r="F146" s="15" t="inlineStr">
        <is>
          <t>cái</t>
        </is>
      </c>
      <c r="G146" s="17" t="n">
        <v>30</v>
      </c>
      <c r="H146" s="17" t="n"/>
      <c r="I146" s="17" t="n"/>
      <c r="J146" s="17" t="n"/>
      <c r="K146" s="17" t="n"/>
      <c r="L146" s="17" t="n"/>
      <c r="M146" s="23" t="n"/>
    </row>
    <row r="147" ht="24" customHeight="1">
      <c r="A147" s="15" t="n">
        <v>15</v>
      </c>
      <c r="B147" s="28" t="inlineStr">
        <is>
          <t>EAG Cửa hút gió thải kèm OBD KT 250x250</t>
        </is>
      </c>
      <c r="C147" s="28" t="n"/>
      <c r="D147" s="28" t="n"/>
      <c r="E147" s="28" t="n"/>
      <c r="F147" s="15" t="inlineStr">
        <is>
          <t>cái</t>
        </is>
      </c>
      <c r="G147" s="17" t="n">
        <v>121</v>
      </c>
      <c r="H147" s="17" t="n"/>
      <c r="I147" s="17" t="n"/>
      <c r="J147" s="17" t="n"/>
      <c r="K147" s="17" t="n"/>
      <c r="L147" s="17" t="n"/>
      <c r="M147" s="23" t="n"/>
    </row>
    <row r="148" ht="24" customHeight="1">
      <c r="A148" s="15" t="n">
        <v>16</v>
      </c>
      <c r="B148" s="28" t="inlineStr">
        <is>
          <t>Trunking cho ống đồng KT800x400</t>
        </is>
      </c>
      <c r="C148" s="28" t="n"/>
      <c r="D148" s="28" t="n"/>
      <c r="E148" s="28" t="n"/>
      <c r="F148" s="15" t="inlineStr">
        <is>
          <t>m</t>
        </is>
      </c>
      <c r="G148" s="17" t="n">
        <v>45</v>
      </c>
      <c r="H148" s="17" t="n"/>
      <c r="I148" s="17" t="n"/>
      <c r="J148" s="17" t="n"/>
      <c r="K148" s="17" t="n"/>
      <c r="L148" s="17" t="n"/>
      <c r="M148" s="23" t="n"/>
    </row>
    <row r="149">
      <c r="A149" s="15" t="n">
        <v>17</v>
      </c>
      <c r="B149" s="28" t="inlineStr">
        <is>
          <t>Vật tư phụ</t>
        </is>
      </c>
      <c r="C149" s="28" t="n"/>
      <c r="D149" s="28" t="n"/>
      <c r="E149" s="28" t="n"/>
      <c r="F149" s="15" t="inlineStr">
        <is>
          <t>lô</t>
        </is>
      </c>
      <c r="G149" s="17" t="n">
        <v>1</v>
      </c>
      <c r="H149" s="17" t="n"/>
      <c r="I149" s="17" t="n"/>
      <c r="J149" s="17" t="n"/>
      <c r="K149" s="17" t="n"/>
      <c r="L149" s="17" t="n"/>
      <c r="M149" s="23" t="n"/>
    </row>
    <row r="150" ht="23.25" customFormat="1" customHeight="1" s="3">
      <c r="A150" s="10" t="n"/>
      <c r="B150" s="13" t="inlineStr">
        <is>
          <t>Hệ thống Điện cấp nguồn + Điều khiển</t>
        </is>
      </c>
      <c r="C150" s="13" t="n"/>
      <c r="D150" s="13" t="n"/>
      <c r="E150" s="13" t="n"/>
      <c r="F150" s="10" t="n"/>
      <c r="G150" s="7" t="n"/>
      <c r="H150" s="7" t="n"/>
      <c r="I150" s="7" t="n"/>
      <c r="J150" s="7" t="n"/>
      <c r="K150" s="7" t="n"/>
      <c r="L150" s="7" t="n"/>
    </row>
    <row r="151" ht="35.25" customHeight="1">
      <c r="A151" s="15" t="n">
        <v>1</v>
      </c>
      <c r="B151" s="28" t="inlineStr">
        <is>
          <t>Dây tín hiệu nguồn kết nối dàn nóng và dàn lạnh
Cu/PVC 2x1.5mm2</t>
        </is>
      </c>
      <c r="C151" s="28" t="n"/>
      <c r="D151" s="28" t="n"/>
      <c r="E151" s="28" t="n"/>
      <c r="F151" s="15" t="inlineStr">
        <is>
          <t>m</t>
        </is>
      </c>
      <c r="G151" s="17" t="n">
        <v>2935.4</v>
      </c>
      <c r="H151" s="17" t="n"/>
      <c r="I151" s="17" t="n"/>
      <c r="J151" s="17" t="n"/>
      <c r="K151" s="17" t="n"/>
      <c r="L151" s="17" t="n"/>
      <c r="M151" s="23" t="n"/>
    </row>
    <row r="152" ht="50.25" customHeight="1">
      <c r="A152" s="15" t="n">
        <v>2</v>
      </c>
      <c r="B152" s="28" t="inlineStr">
        <is>
          <t>Dây tín hiệu nguồn kết nối dàn lạnh và điều khiển gắn tường
Cu/PVC 2x1.5mm2</t>
        </is>
      </c>
      <c r="C152" s="28" t="n"/>
      <c r="D152" s="28" t="n"/>
      <c r="E152" s="28" t="n"/>
      <c r="F152" s="15" t="inlineStr">
        <is>
          <t>m</t>
        </is>
      </c>
      <c r="G152" s="17" t="n">
        <v>1750</v>
      </c>
      <c r="H152" s="17" t="n"/>
      <c r="I152" s="17" t="n"/>
      <c r="J152" s="17" t="n"/>
      <c r="K152" s="17" t="n"/>
      <c r="L152" s="17" t="n"/>
      <c r="M152" s="23" t="n"/>
    </row>
    <row r="153" ht="50.25" customHeight="1">
      <c r="A153" s="15" t="n">
        <v>3</v>
      </c>
      <c r="B153" s="31" t="inlineStr">
        <is>
          <t>Dây tín hiệu nguồn kết nối dàn nóng và dàn lạnh
Cu/PVC 5x1.5mm2</t>
        </is>
      </c>
      <c r="C153" s="31" t="n"/>
      <c r="D153" s="31" t="n"/>
      <c r="E153" s="31" t="n"/>
      <c r="F153" s="15" t="inlineStr">
        <is>
          <t>m</t>
        </is>
      </c>
      <c r="G153" s="17" t="n">
        <v>5</v>
      </c>
      <c r="H153" s="17" t="n"/>
      <c r="I153" s="17" t="n"/>
      <c r="J153" s="17" t="n"/>
      <c r="K153" s="17" t="n"/>
      <c r="L153" s="17" t="n"/>
      <c r="M153" s="23" t="n"/>
    </row>
    <row r="154" ht="25.5" customHeight="1">
      <c r="A154" s="15" t="n">
        <v>4</v>
      </c>
      <c r="B154" s="28" t="inlineStr">
        <is>
          <t>Vật tư phụ</t>
        </is>
      </c>
      <c r="C154" s="28" t="n"/>
      <c r="D154" s="28" t="n"/>
      <c r="E154" s="28" t="n"/>
      <c r="F154" s="15" t="inlineStr">
        <is>
          <t>lô</t>
        </is>
      </c>
      <c r="G154" s="17" t="n">
        <v>1</v>
      </c>
      <c r="H154" s="17" t="n"/>
      <c r="I154" s="17" t="n"/>
      <c r="J154" s="17" t="n"/>
      <c r="K154" s="17" t="n"/>
      <c r="L154" s="17" t="n"/>
      <c r="M154" s="23" t="n"/>
    </row>
    <row r="155" ht="27" customHeight="1">
      <c r="A155" s="33" t="inlineStr">
        <is>
          <t>A</t>
        </is>
      </c>
      <c r="B155" s="34" t="inlineStr">
        <is>
          <t>KHU CĂN HỘ</t>
        </is>
      </c>
      <c r="C155" s="34" t="n"/>
      <c r="D155" s="34" t="n"/>
      <c r="E155" s="34" t="n"/>
      <c r="F155" s="35" t="n"/>
      <c r="G155" s="36" t="n"/>
      <c r="H155" s="36" t="n"/>
      <c r="I155" s="36" t="n"/>
      <c r="J155" s="36" t="n"/>
      <c r="K155" s="36" t="n"/>
      <c r="L155" s="36" t="n"/>
      <c r="M155" s="37" t="n"/>
    </row>
    <row r="156" ht="22.5" customFormat="1" customHeight="1" s="3">
      <c r="A156" s="10" t="inlineStr">
        <is>
          <t>I</t>
        </is>
      </c>
      <c r="B156" s="11" t="inlineStr">
        <is>
          <t>THIẾT BỊ</t>
        </is>
      </c>
      <c r="C156" s="11" t="n"/>
      <c r="D156" s="11" t="n"/>
      <c r="E156" s="11" t="n"/>
      <c r="F156" s="10" t="n"/>
      <c r="G156" s="12" t="n"/>
      <c r="H156" s="12" t="n"/>
      <c r="I156" s="12" t="n"/>
      <c r="J156" s="12" t="n"/>
      <c r="K156" s="12" t="n"/>
      <c r="L156" s="12" t="n"/>
      <c r="M156" s="12" t="n"/>
      <c r="N156" s="6" t="n"/>
    </row>
    <row r="157" ht="26.25" customFormat="1" customHeight="1" s="3">
      <c r="A157" s="10" t="n"/>
      <c r="B157" s="18" t="inlineStr">
        <is>
          <t>Điều hòa cục bộ treo tường</t>
        </is>
      </c>
      <c r="C157" s="18" t="n"/>
      <c r="D157" s="18" t="n"/>
      <c r="E157" s="18" t="n"/>
      <c r="F157" s="10" t="n"/>
      <c r="G157" s="14" t="n"/>
      <c r="H157" s="14" t="n"/>
      <c r="I157" s="14" t="n"/>
      <c r="J157" s="14" t="n"/>
      <c r="K157" s="14" t="n"/>
      <c r="L157" s="14" t="n"/>
      <c r="M157" s="14" t="n"/>
      <c r="N157" s="7" t="n"/>
    </row>
    <row r="158" ht="34.5" customHeight="1">
      <c r="A158" s="15" t="n">
        <v>1</v>
      </c>
      <c r="B158" s="16" t="inlineStr">
        <is>
          <t>Điều hòa cục bộ treo tường
Công suất lạnh: 9000 BTU/h</t>
        </is>
      </c>
      <c r="C158" s="16" t="n"/>
      <c r="D158" s="16" t="n"/>
      <c r="E158" s="16" t="n"/>
      <c r="F158" s="15" t="inlineStr">
        <is>
          <t>Bộ</t>
        </is>
      </c>
      <c r="G158" s="17" t="n">
        <v>298</v>
      </c>
      <c r="H158" s="17" t="n"/>
      <c r="I158" s="17" t="n"/>
      <c r="J158" s="17" t="n"/>
      <c r="K158" s="17" t="n"/>
      <c r="L158" s="17" t="n"/>
      <c r="M158" s="17" t="n"/>
      <c r="N158" s="5" t="n"/>
    </row>
    <row r="159" ht="34.5" customHeight="1">
      <c r="A159" s="15" t="n">
        <v>2</v>
      </c>
      <c r="B159" s="16" t="inlineStr">
        <is>
          <t>Điều hòa cục bộ treo tường
Công suất lạnh: 24000 BTU/h</t>
        </is>
      </c>
      <c r="C159" s="16" t="n"/>
      <c r="D159" s="16" t="n"/>
      <c r="E159" s="16" t="n"/>
      <c r="F159" s="15" t="inlineStr">
        <is>
          <t>Bộ</t>
        </is>
      </c>
      <c r="G159" s="17" t="n">
        <v>134</v>
      </c>
      <c r="H159" s="17" t="n"/>
      <c r="I159" s="17" t="n"/>
      <c r="J159" s="17" t="n"/>
      <c r="K159" s="17" t="n"/>
      <c r="L159" s="17" t="n"/>
      <c r="M159" s="17" t="n"/>
      <c r="N159" s="5" t="n"/>
    </row>
    <row r="160" ht="28.5" customHeight="1">
      <c r="A160" s="15" t="n">
        <v>3</v>
      </c>
      <c r="B160" s="16" t="inlineStr">
        <is>
          <t>Bộ điều khiển điều hòa</t>
        </is>
      </c>
      <c r="C160" s="16" t="n"/>
      <c r="D160" s="16" t="n"/>
      <c r="E160" s="16" t="n"/>
      <c r="F160" s="15" t="inlineStr">
        <is>
          <t>Bộ</t>
        </is>
      </c>
      <c r="G160" s="17" t="n">
        <v>432</v>
      </c>
      <c r="H160" s="17" t="n"/>
      <c r="I160" s="17" t="n"/>
      <c r="J160" s="17" t="n"/>
      <c r="K160" s="17" t="n"/>
      <c r="L160" s="17" t="n"/>
      <c r="M160" s="17" t="n"/>
      <c r="N160" s="5" t="n"/>
    </row>
    <row r="161" ht="28.5" customHeight="1">
      <c r="A161" s="15" t="n">
        <v>4</v>
      </c>
      <c r="B161" s="16" t="inlineStr">
        <is>
          <t>Giá đỡ cho dàn Dàn nóng</t>
        </is>
      </c>
      <c r="C161" s="16" t="n"/>
      <c r="D161" s="16" t="n"/>
      <c r="E161" s="16" t="n"/>
      <c r="F161" s="15" t="inlineStr">
        <is>
          <t>Bộ</t>
        </is>
      </c>
      <c r="G161" s="17" t="n">
        <v>432</v>
      </c>
      <c r="H161" s="17" t="n"/>
      <c r="I161" s="17" t="n"/>
      <c r="J161" s="17" t="n"/>
      <c r="K161" s="17" t="n"/>
      <c r="L161" s="17" t="n"/>
      <c r="M161" s="17" t="n"/>
      <c r="N161" s="5" t="n"/>
    </row>
    <row r="162" customFormat="1" s="3">
      <c r="A162" s="15" t="n">
        <v>5</v>
      </c>
      <c r="B162" s="19" t="inlineStr">
        <is>
          <t>Vật tư phụ</t>
        </is>
      </c>
      <c r="C162" s="19" t="n"/>
      <c r="D162" s="19" t="n"/>
      <c r="E162" s="19" t="n"/>
      <c r="F162" s="15" t="inlineStr">
        <is>
          <t>lô</t>
        </is>
      </c>
      <c r="G162" s="17" t="n">
        <v>1</v>
      </c>
      <c r="H162" s="17" t="n"/>
      <c r="I162" s="17" t="n"/>
      <c r="J162" s="17" t="n"/>
      <c r="K162" s="17" t="n"/>
      <c r="L162" s="17" t="n"/>
      <c r="M162" s="20" t="n"/>
      <c r="N162" s="8" t="n"/>
    </row>
    <row r="163" ht="27" customFormat="1" customHeight="1" s="3">
      <c r="A163" s="10" t="n"/>
      <c r="B163" s="18" t="inlineStr">
        <is>
          <t>Thiết bị thông gió</t>
        </is>
      </c>
      <c r="C163" s="18" t="n"/>
      <c r="D163" s="18" t="n"/>
      <c r="E163" s="18" t="n"/>
      <c r="F163" s="10" t="n"/>
      <c r="G163" s="14" t="n"/>
      <c r="H163" s="14" t="n"/>
      <c r="I163" s="14" t="n"/>
      <c r="J163" s="14" t="n"/>
      <c r="K163" s="14" t="n"/>
      <c r="L163" s="14" t="n"/>
      <c r="M163" s="14" t="n"/>
      <c r="N163" s="7" t="n"/>
    </row>
    <row r="164" ht="30" customHeight="1">
      <c r="A164" s="15" t="n">
        <v>1</v>
      </c>
      <c r="B164" s="16" t="inlineStr">
        <is>
          <t>Quạt hút mùi vệ sinh âm trần nối ống gió
EAF  LL=120 m3/h</t>
        </is>
      </c>
      <c r="C164" s="16" t="n"/>
      <c r="D164" s="16" t="n"/>
      <c r="E164" s="16" t="n"/>
      <c r="F164" s="15" t="inlineStr">
        <is>
          <t>Cái</t>
        </is>
      </c>
      <c r="G164" s="17" t="n">
        <v>268</v>
      </c>
      <c r="H164" s="17" t="n"/>
      <c r="I164" s="17" t="n"/>
      <c r="J164" s="17" t="n"/>
      <c r="K164" s="17" t="n"/>
      <c r="L164" s="17" t="n"/>
      <c r="M164" s="17" t="n"/>
      <c r="N164" s="5" t="n"/>
    </row>
    <row r="165" ht="14.25" customFormat="1" customHeight="1" s="3">
      <c r="A165" s="10" t="inlineStr">
        <is>
          <t>III</t>
        </is>
      </c>
      <c r="B165" s="18" t="inlineStr">
        <is>
          <t xml:space="preserve">Vật tư </t>
        </is>
      </c>
      <c r="C165" s="18" t="n"/>
      <c r="D165" s="18" t="n"/>
      <c r="E165" s="18" t="n"/>
      <c r="F165" s="10" t="n"/>
      <c r="G165" s="14" t="n"/>
      <c r="H165" s="14" t="n"/>
      <c r="I165" s="14" t="n"/>
      <c r="J165" s="14" t="n"/>
      <c r="K165" s="14" t="n"/>
      <c r="L165" s="14" t="n"/>
      <c r="M165" s="14" t="n"/>
      <c r="N165" s="7" t="n"/>
    </row>
    <row r="166" ht="14.25" customFormat="1" customHeight="1" s="3">
      <c r="A166" s="10" t="n"/>
      <c r="B166" s="18" t="inlineStr">
        <is>
          <t>Ống đồng kèm bảo ôn</t>
        </is>
      </c>
      <c r="C166" s="18" t="n"/>
      <c r="D166" s="18" t="n"/>
      <c r="E166" s="18" t="n"/>
      <c r="F166" s="10" t="n"/>
      <c r="G166" s="14" t="n"/>
      <c r="H166" s="14" t="n"/>
      <c r="I166" s="14" t="n"/>
      <c r="J166" s="14" t="n"/>
      <c r="K166" s="14" t="n"/>
      <c r="L166" s="14" t="n"/>
      <c r="M166" s="14" t="n"/>
      <c r="N166" s="7" t="n"/>
    </row>
    <row r="167" customFormat="1" s="3">
      <c r="A167" s="15" t="n">
        <v>1</v>
      </c>
      <c r="B167" s="19" t="inlineStr">
        <is>
          <t>Ống đồng Ø6.4/Ø9.5</t>
        </is>
      </c>
      <c r="C167" s="19" t="n"/>
      <c r="D167" s="19" t="n"/>
      <c r="E167" s="19" t="n"/>
      <c r="F167" s="15" t="inlineStr">
        <is>
          <t xml:space="preserve">m </t>
        </is>
      </c>
      <c r="G167" s="17" t="n">
        <v>2037</v>
      </c>
      <c r="H167" s="17" t="n"/>
      <c r="I167" s="17" t="n"/>
      <c r="J167" s="17" t="n"/>
      <c r="K167" s="17" t="n"/>
      <c r="L167" s="17" t="n"/>
      <c r="M167" s="20" t="n"/>
      <c r="N167" s="8" t="n"/>
    </row>
    <row r="168" customFormat="1" s="3">
      <c r="A168" s="15" t="n">
        <v>2</v>
      </c>
      <c r="B168" s="19" t="inlineStr">
        <is>
          <t>Ống đồng Ø6.4/Ø15.9</t>
        </is>
      </c>
      <c r="C168" s="19" t="n"/>
      <c r="D168" s="19" t="n"/>
      <c r="E168" s="19" t="n"/>
      <c r="F168" s="15" t="inlineStr">
        <is>
          <t xml:space="preserve">m </t>
        </is>
      </c>
      <c r="G168" s="17" t="n">
        <v>681</v>
      </c>
      <c r="H168" s="17" t="n"/>
      <c r="I168" s="17" t="n"/>
      <c r="J168" s="17" t="n"/>
      <c r="K168" s="17" t="n"/>
      <c r="L168" s="17" t="n"/>
      <c r="M168" s="20" t="n"/>
      <c r="N168" s="8" t="n"/>
    </row>
    <row r="169" customFormat="1" s="3">
      <c r="A169" s="15" t="n">
        <v>3</v>
      </c>
      <c r="B169" s="19" t="inlineStr">
        <is>
          <t>Bảo ôn ống đồng Ø6.4 dày 13mm</t>
        </is>
      </c>
      <c r="C169" s="19" t="n"/>
      <c r="D169" s="19" t="n"/>
      <c r="E169" s="19" t="n"/>
      <c r="F169" s="15" t="inlineStr">
        <is>
          <t xml:space="preserve">m </t>
        </is>
      </c>
      <c r="G169" s="17" t="n">
        <v>2718</v>
      </c>
      <c r="H169" s="17" t="n"/>
      <c r="I169" s="17" t="n"/>
      <c r="J169" s="17" t="n"/>
      <c r="K169" s="17" t="n"/>
      <c r="L169" s="17" t="n"/>
      <c r="M169" s="20" t="n"/>
      <c r="N169" s="8" t="n"/>
    </row>
    <row r="170" customFormat="1" s="3">
      <c r="A170" s="15" t="n">
        <v>4</v>
      </c>
      <c r="B170" s="19" t="inlineStr">
        <is>
          <t>Bảo ôn ống đồng Ø9.5 dày 13mm</t>
        </is>
      </c>
      <c r="C170" s="19" t="n"/>
      <c r="D170" s="19" t="n"/>
      <c r="E170" s="19" t="n"/>
      <c r="F170" s="15" t="inlineStr">
        <is>
          <t xml:space="preserve">m </t>
        </is>
      </c>
      <c r="G170" s="17" t="n">
        <v>2037</v>
      </c>
      <c r="H170" s="17" t="n"/>
      <c r="I170" s="17" t="n"/>
      <c r="J170" s="17" t="n"/>
      <c r="K170" s="17" t="n"/>
      <c r="L170" s="17" t="n"/>
      <c r="M170" s="20" t="n"/>
      <c r="N170" s="8" t="n"/>
    </row>
    <row r="171" customFormat="1" s="3">
      <c r="A171" s="15" t="n">
        <v>5</v>
      </c>
      <c r="B171" s="19" t="inlineStr">
        <is>
          <t>Bảo ôn ống đồng Ø12.7 dày 13mm</t>
        </is>
      </c>
      <c r="C171" s="19" t="n"/>
      <c r="D171" s="19" t="n"/>
      <c r="E171" s="19" t="n"/>
      <c r="F171" s="15" t="inlineStr">
        <is>
          <t xml:space="preserve">m </t>
        </is>
      </c>
      <c r="G171" s="17" t="n">
        <v>0</v>
      </c>
      <c r="H171" s="17" t="n"/>
      <c r="I171" s="17" t="n"/>
      <c r="J171" s="17" t="n"/>
      <c r="K171" s="17" t="n"/>
      <c r="L171" s="17" t="n"/>
      <c r="M171" s="20" t="n"/>
      <c r="N171" s="8" t="n"/>
    </row>
    <row r="172" customFormat="1" s="3">
      <c r="A172" s="15" t="n">
        <v>6</v>
      </c>
      <c r="B172" s="19" t="inlineStr">
        <is>
          <t>Bảo ôn ống đồng Ø15.9 dày 19mm</t>
        </is>
      </c>
      <c r="C172" s="19" t="n"/>
      <c r="D172" s="19" t="n"/>
      <c r="E172" s="19" t="n"/>
      <c r="F172" s="15" t="inlineStr">
        <is>
          <t xml:space="preserve">m </t>
        </is>
      </c>
      <c r="G172" s="17" t="n">
        <v>681</v>
      </c>
      <c r="H172" s="17" t="n"/>
      <c r="I172" s="17" t="n"/>
      <c r="J172" s="17" t="n"/>
      <c r="K172" s="17" t="n"/>
      <c r="L172" s="17" t="n"/>
      <c r="M172" s="20" t="n"/>
      <c r="N172" s="8" t="n"/>
    </row>
    <row r="173" customFormat="1" s="3">
      <c r="A173" s="15" t="n">
        <v>7</v>
      </c>
      <c r="B173" s="19" t="inlineStr">
        <is>
          <t>Giá đỡ ống đồng</t>
        </is>
      </c>
      <c r="C173" s="19" t="n"/>
      <c r="D173" s="19" t="n"/>
      <c r="E173" s="19" t="n"/>
      <c r="F173" s="15" t="inlineStr">
        <is>
          <t>bộ</t>
        </is>
      </c>
      <c r="G173" s="17" t="n">
        <v>1348</v>
      </c>
      <c r="H173" s="17" t="n"/>
      <c r="I173" s="17" t="n"/>
      <c r="J173" s="17" t="n"/>
      <c r="K173" s="17" t="n"/>
      <c r="L173" s="17" t="n"/>
      <c r="M173" s="20" t="n"/>
      <c r="N173" s="8" t="n"/>
    </row>
    <row r="174" customFormat="1" s="3">
      <c r="A174" s="15" t="n">
        <v>8</v>
      </c>
      <c r="B174" s="19" t="inlineStr">
        <is>
          <t>Vật tư phụ</t>
        </is>
      </c>
      <c r="C174" s="19" t="n"/>
      <c r="D174" s="19" t="n"/>
      <c r="E174" s="19" t="n"/>
      <c r="F174" s="15" t="inlineStr">
        <is>
          <t>lô</t>
        </is>
      </c>
      <c r="G174" s="17" t="n">
        <v>1</v>
      </c>
      <c r="H174" s="17" t="n"/>
      <c r="I174" s="17" t="n"/>
      <c r="J174" s="17" t="n"/>
      <c r="K174" s="17" t="n"/>
      <c r="L174" s="17" t="n"/>
      <c r="M174" s="20" t="n"/>
      <c r="N174" s="8" t="n"/>
    </row>
    <row r="175" customFormat="1" s="3">
      <c r="A175" s="10" t="n"/>
      <c r="B175" s="18" t="inlineStr">
        <is>
          <t>Ống nước ngưng kèm bảo ôn</t>
        </is>
      </c>
      <c r="C175" s="18" t="n"/>
      <c r="D175" s="18" t="n"/>
      <c r="E175" s="18" t="n"/>
      <c r="F175" s="10" t="n"/>
      <c r="G175" s="17" t="n">
        <v>0</v>
      </c>
      <c r="H175" s="17" t="n"/>
      <c r="I175" s="17" t="n"/>
      <c r="J175" s="17" t="n"/>
      <c r="K175" s="17" t="n"/>
      <c r="L175" s="17" t="n"/>
      <c r="M175" s="14" t="n"/>
      <c r="N175" s="7" t="n"/>
    </row>
    <row r="176" customFormat="1" s="3">
      <c r="A176" s="15" t="n">
        <v>1</v>
      </c>
      <c r="B176" s="19" t="inlineStr">
        <is>
          <t>Ống nước ngưng DN21</t>
        </is>
      </c>
      <c r="C176" s="19" t="n"/>
      <c r="D176" s="19" t="n"/>
      <c r="E176" s="19" t="n"/>
      <c r="F176" s="15" t="inlineStr">
        <is>
          <t xml:space="preserve">m </t>
        </is>
      </c>
      <c r="G176" s="17" t="n">
        <v>2338</v>
      </c>
      <c r="H176" s="17" t="n"/>
      <c r="I176" s="17" t="n"/>
      <c r="J176" s="17" t="n"/>
      <c r="K176" s="17" t="n"/>
      <c r="L176" s="17" t="n"/>
      <c r="M176" s="20" t="n"/>
      <c r="N176" s="8" t="n"/>
    </row>
    <row r="177" customFormat="1" s="3">
      <c r="A177" s="15" t="n">
        <v>2</v>
      </c>
      <c r="B177" s="19" t="inlineStr">
        <is>
          <t>Bảo ôn ống nước ngưng dày 13mm</t>
        </is>
      </c>
      <c r="C177" s="19" t="n"/>
      <c r="D177" s="19" t="n"/>
      <c r="E177" s="19" t="n"/>
      <c r="F177" s="15" t="inlineStr">
        <is>
          <t xml:space="preserve">m </t>
        </is>
      </c>
      <c r="G177" s="17" t="n">
        <v>2338</v>
      </c>
      <c r="H177" s="17" t="n"/>
      <c r="I177" s="17" t="n"/>
      <c r="J177" s="17" t="n"/>
      <c r="K177" s="17" t="n"/>
      <c r="L177" s="17" t="n"/>
      <c r="M177" s="20" t="n"/>
      <c r="N177" s="8" t="n"/>
    </row>
    <row r="178" customFormat="1" s="3">
      <c r="A178" s="15" t="n">
        <v>3</v>
      </c>
      <c r="B178" s="19" t="inlineStr">
        <is>
          <t>Giá đỡ ống đồng</t>
        </is>
      </c>
      <c r="C178" s="19" t="n"/>
      <c r="D178" s="19" t="n"/>
      <c r="E178" s="19" t="n"/>
      <c r="F178" s="15" t="inlineStr">
        <is>
          <t>bộ</t>
        </is>
      </c>
      <c r="G178" s="17" t="n">
        <v>686</v>
      </c>
      <c r="H178" s="17" t="n"/>
      <c r="I178" s="17" t="n"/>
      <c r="J178" s="17" t="n"/>
      <c r="K178" s="17" t="n"/>
      <c r="L178" s="17" t="n"/>
      <c r="M178" s="20" t="n"/>
      <c r="N178" s="8" t="n"/>
    </row>
    <row r="179" customFormat="1" s="3">
      <c r="A179" s="15" t="n">
        <v>4</v>
      </c>
      <c r="B179" s="19" t="inlineStr">
        <is>
          <t>Vật tư phụ</t>
        </is>
      </c>
      <c r="C179" s="19" t="n"/>
      <c r="D179" s="19" t="n"/>
      <c r="E179" s="19" t="n"/>
      <c r="F179" s="15" t="inlineStr">
        <is>
          <t>lô</t>
        </is>
      </c>
      <c r="G179" s="17" t="n">
        <v>1</v>
      </c>
      <c r="H179" s="17" t="n"/>
      <c r="I179" s="17" t="n"/>
      <c r="J179" s="17" t="n"/>
      <c r="K179" s="17" t="n"/>
      <c r="L179" s="17" t="n"/>
      <c r="M179" s="20" t="n"/>
      <c r="N179" s="8" t="n"/>
    </row>
    <row r="180" customFormat="1" s="3">
      <c r="A180" s="10" t="n"/>
      <c r="B180" s="21" t="inlineStr">
        <is>
          <t>Ống gió hút mùi vệ sinh</t>
        </is>
      </c>
      <c r="C180" s="21" t="n"/>
      <c r="D180" s="21" t="n"/>
      <c r="E180" s="21" t="n"/>
      <c r="F180" s="10" t="n"/>
      <c r="G180" s="17" t="n">
        <v>0</v>
      </c>
      <c r="H180" s="17" t="n"/>
      <c r="I180" s="17" t="n"/>
      <c r="J180" s="17" t="n"/>
      <c r="K180" s="17" t="n"/>
      <c r="L180" s="17" t="n"/>
      <c r="M180" s="22" t="n"/>
      <c r="N180" s="9" t="n"/>
    </row>
    <row r="181">
      <c r="A181" s="15" t="n">
        <v>1</v>
      </c>
      <c r="B181" s="23" t="inlineStr">
        <is>
          <t>Ống PVC DN90 kèm phụ kiện</t>
        </is>
      </c>
      <c r="C181" s="23" t="n"/>
      <c r="D181" s="23" t="n"/>
      <c r="E181" s="23" t="n"/>
      <c r="F181" s="15" t="inlineStr">
        <is>
          <t xml:space="preserve">m </t>
        </is>
      </c>
      <c r="G181" s="17" t="n">
        <v>1656.4</v>
      </c>
      <c r="H181" s="17" t="n"/>
      <c r="I181" s="17" t="n"/>
      <c r="J181" s="17" t="n"/>
      <c r="K181" s="17" t="n"/>
      <c r="L181" s="17" t="n"/>
      <c r="M181" s="17" t="n"/>
      <c r="N181" s="5" t="n"/>
    </row>
    <row r="182">
      <c r="A182" s="15" t="n">
        <v>2</v>
      </c>
      <c r="B182" s="23" t="inlineStr">
        <is>
          <t>Ống PVC DN140 kèm phụ kiện</t>
        </is>
      </c>
      <c r="C182" s="23" t="n"/>
      <c r="D182" s="23" t="n"/>
      <c r="E182" s="23" t="n"/>
      <c r="F182" s="15" t="inlineStr">
        <is>
          <t xml:space="preserve">m </t>
        </is>
      </c>
      <c r="G182" s="17" t="n">
        <v>1040.1</v>
      </c>
      <c r="H182" s="17" t="n"/>
      <c r="I182" s="17" t="n"/>
      <c r="J182" s="17" t="n"/>
      <c r="K182" s="17" t="n"/>
      <c r="L182" s="17" t="n"/>
      <c r="M182" s="17" t="n"/>
      <c r="N182" s="5" t="n"/>
    </row>
    <row r="183">
      <c r="A183" s="15" t="n">
        <v>3</v>
      </c>
      <c r="B183" s="23" t="inlineStr">
        <is>
          <t>Ống gió mềm không kèm bảo ôn DN100</t>
        </is>
      </c>
      <c r="C183" s="23" t="n"/>
      <c r="D183" s="23" t="n"/>
      <c r="E183" s="23" t="n"/>
      <c r="F183" s="15" t="inlineStr">
        <is>
          <t xml:space="preserve">m </t>
        </is>
      </c>
      <c r="G183" s="17" t="n">
        <v>402</v>
      </c>
      <c r="H183" s="17" t="n"/>
      <c r="I183" s="17" t="n"/>
      <c r="J183" s="17" t="n"/>
      <c r="K183" s="17" t="n"/>
      <c r="L183" s="17" t="n"/>
      <c r="M183" s="17" t="n"/>
      <c r="N183" s="5" t="n"/>
    </row>
    <row r="184">
      <c r="A184" s="15" t="n">
        <v>4</v>
      </c>
      <c r="B184" s="23" t="inlineStr">
        <is>
          <t>Louver kèm lưới chắn côn trùng KT400x200</t>
        </is>
      </c>
      <c r="C184" s="23" t="n"/>
      <c r="D184" s="23" t="n"/>
      <c r="E184" s="23" t="n"/>
      <c r="F184" s="15" t="inlineStr">
        <is>
          <t>Cái</t>
        </is>
      </c>
      <c r="G184" s="17" t="n">
        <v>134</v>
      </c>
      <c r="H184" s="17" t="n"/>
      <c r="I184" s="17" t="n"/>
      <c r="J184" s="17" t="n"/>
      <c r="K184" s="17" t="n"/>
      <c r="L184" s="17" t="n"/>
      <c r="M184" s="17" t="n"/>
      <c r="N184" s="5" t="n"/>
    </row>
    <row r="185">
      <c r="A185" s="15" t="n">
        <v>5</v>
      </c>
      <c r="B185" s="23" t="inlineStr">
        <is>
          <t>Cửa thăm dàn lạnh</t>
        </is>
      </c>
      <c r="C185" s="23" t="n"/>
      <c r="D185" s="23" t="n"/>
      <c r="E185" s="23" t="n"/>
      <c r="F185" s="15" t="inlineStr">
        <is>
          <t>Cái</t>
        </is>
      </c>
      <c r="G185" s="17" t="n">
        <v>402</v>
      </c>
      <c r="H185" s="17" t="n"/>
      <c r="I185" s="17" t="n"/>
      <c r="J185" s="17" t="n"/>
      <c r="K185" s="17" t="n"/>
      <c r="L185" s="17" t="n"/>
      <c r="M185" s="17" t="n"/>
      <c r="N185" s="5" t="n"/>
    </row>
    <row r="186" customFormat="1" s="3">
      <c r="A186" s="15" t="n">
        <v>6</v>
      </c>
      <c r="B186" s="19" t="inlineStr">
        <is>
          <t>Vật tư phụ</t>
        </is>
      </c>
      <c r="C186" s="19" t="n"/>
      <c r="D186" s="19" t="n"/>
      <c r="E186" s="19" t="n"/>
      <c r="F186" s="15" t="n"/>
      <c r="G186" s="17" t="n"/>
      <c r="H186" s="17" t="n"/>
      <c r="I186" s="17" t="n"/>
      <c r="J186" s="17" t="n"/>
      <c r="K186" s="17" t="n"/>
      <c r="L186" s="17" t="n"/>
      <c r="M186" s="20" t="n"/>
      <c r="N186" s="8" t="n"/>
    </row>
    <row r="187" ht="23.25" customFormat="1" customHeight="1" s="3">
      <c r="A187" s="10" t="n"/>
      <c r="B187" s="13" t="inlineStr">
        <is>
          <t>Hệ thống Điện cấp nguồn + Điều khiển</t>
        </is>
      </c>
      <c r="C187" s="13" t="n"/>
      <c r="D187" s="13" t="n"/>
      <c r="E187" s="13" t="n"/>
      <c r="F187" s="10" t="n"/>
      <c r="G187" s="17" t="n"/>
      <c r="H187" s="17" t="n"/>
      <c r="I187" s="17" t="n"/>
      <c r="J187" s="17" t="n"/>
      <c r="K187" s="17" t="n"/>
      <c r="L187" s="17" t="n"/>
      <c r="M187" s="14" t="n"/>
      <c r="N187" s="7" t="n"/>
    </row>
    <row r="188" ht="42" customFormat="1" customHeight="1" s="3">
      <c r="A188" s="30" t="n">
        <v>1</v>
      </c>
      <c r="B188" s="31" t="inlineStr">
        <is>
          <t>Dây tín hiệu nguồn kết nối dàn nóng và dàn lạnh
Cu/PVC 5x1.5mm2</t>
        </is>
      </c>
      <c r="C188" s="31" t="n"/>
      <c r="D188" s="31" t="n"/>
      <c r="E188" s="31" t="n"/>
      <c r="F188" s="30" t="inlineStr">
        <is>
          <t xml:space="preserve">m </t>
        </is>
      </c>
      <c r="G188" s="17" t="n">
        <v>2718</v>
      </c>
      <c r="H188" s="38" t="n"/>
      <c r="I188" s="38" t="n"/>
      <c r="J188" s="38" t="n"/>
      <c r="K188" s="38" t="n"/>
      <c r="L188" s="38" t="n"/>
      <c r="M188" s="32" t="n"/>
      <c r="N188" s="9" t="n"/>
    </row>
    <row r="189">
      <c r="A189" s="24" t="n">
        <v>2</v>
      </c>
      <c r="B189" s="25" t="inlineStr">
        <is>
          <t>Vật tư phụ</t>
        </is>
      </c>
      <c r="C189" s="25" t="n"/>
      <c r="D189" s="25" t="n"/>
      <c r="E189" s="25" t="n"/>
      <c r="F189" s="24" t="inlineStr">
        <is>
          <t>lô</t>
        </is>
      </c>
      <c r="G189" s="26" t="n">
        <v>1</v>
      </c>
      <c r="H189" s="26" t="n"/>
      <c r="I189" s="26" t="n"/>
      <c r="J189" s="26" t="n"/>
      <c r="K189" s="26" t="n"/>
      <c r="L189" s="26" t="n"/>
      <c r="M189" s="26" t="n"/>
      <c r="N189" s="5" t="n"/>
    </row>
  </sheetData>
  <mergeCells count="18">
    <mergeCell ref="H6:I6"/>
    <mergeCell ref="A1:M1"/>
    <mergeCell ref="J6:K6"/>
    <mergeCell ref="N4:T4"/>
    <mergeCell ref="A4:M4"/>
    <mergeCell ref="G6:G7"/>
    <mergeCell ref="L6:L7"/>
    <mergeCell ref="A3:M3"/>
    <mergeCell ref="N3:T3"/>
    <mergeCell ref="M6:M7"/>
    <mergeCell ref="E6:E7"/>
    <mergeCell ref="C6:C7"/>
    <mergeCell ref="F6:F7"/>
    <mergeCell ref="D6:D7"/>
    <mergeCell ref="B6:B7"/>
    <mergeCell ref="A2:M2"/>
    <mergeCell ref="A6:A7"/>
    <mergeCell ref="N2:T2"/>
  </mergeCells>
  <pageMargins left="0.7" right="0.7" top="0.75" bottom="0.75" header="0.3" footer="0.3"/>
  <pageSetup orientation="portrait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3"/>
  <sheetViews>
    <sheetView tabSelected="1" workbookViewId="0">
      <pane ySplit="24" topLeftCell="A25" activePane="bottomLeft" state="frozen"/>
      <selection pane="bottomLeft" activeCell="K24" sqref="K24:K204"/>
    </sheetView>
  </sheetViews>
  <sheetFormatPr baseColWidth="8" defaultColWidth="12.5703125" defaultRowHeight="15" customHeight="1"/>
  <cols>
    <col width="6.28515625" customWidth="1" style="51" min="1" max="1"/>
    <col width="61.140625" customWidth="1" style="51" min="2" max="2"/>
    <col width="42.42578125" customWidth="1" style="51" min="3" max="3"/>
    <col width="20" customWidth="1" style="51" min="4" max="4"/>
    <col width="8.7109375" bestFit="1" customWidth="1" style="51" min="5" max="5"/>
    <col width="13.42578125" bestFit="1" customWidth="1" style="150" min="6" max="6"/>
    <col width="14.5703125" customWidth="1" style="129" min="7" max="7"/>
    <col width="17.42578125" customWidth="1" style="129" min="8" max="8"/>
    <col width="25.85546875" customWidth="1" style="87" min="9" max="9"/>
    <col width="11.7109375" customWidth="1" style="51" min="10" max="10"/>
    <col width="60.140625" customWidth="1" style="51" min="11" max="11"/>
    <col width="9.7109375" customWidth="1" style="51" min="12" max="12"/>
    <col width="16.85546875" customWidth="1" style="51" min="13" max="13"/>
    <col width="9.28515625" customWidth="1" style="51" min="14" max="14"/>
    <col width="5.28515625" customWidth="1" style="51" min="15" max="15"/>
    <col width="11.28515625" customWidth="1" style="51" min="16" max="16"/>
    <col width="6" customWidth="1" style="51" min="17" max="17"/>
    <col width="5.28515625" customWidth="1" style="51" min="18" max="18"/>
    <col width="7.5703125" customWidth="1" style="51" min="19" max="19"/>
    <col width="5.28515625" customWidth="1" style="51" min="20" max="21"/>
    <col width="17.85546875" customWidth="1" style="51" min="22" max="22"/>
    <col width="14.5703125" customWidth="1" style="51" min="23" max="23"/>
    <col width="14.7109375" customWidth="1" style="51" min="24" max="24"/>
    <col width="12.5703125" customWidth="1" style="51" min="25" max="25"/>
    <col width="14.7109375" bestFit="1" customWidth="1" style="51" min="26" max="26"/>
    <col width="12.5703125" customWidth="1" style="51" min="27" max="16384"/>
  </cols>
  <sheetData>
    <row r="1" ht="16.5" customHeight="1" thickTop="1">
      <c r="A1" s="45" t="n"/>
      <c r="B1" s="46" t="n"/>
      <c r="C1" s="47" t="n"/>
      <c r="D1" s="46" t="n"/>
      <c r="E1" s="48" t="n"/>
      <c r="F1" s="49" t="n"/>
      <c r="G1" s="49" t="n"/>
      <c r="H1" s="49" t="n"/>
      <c r="I1" s="50" t="n"/>
    </row>
    <row r="2" ht="15.75" customHeight="1">
      <c r="A2" s="52" t="n"/>
      <c r="B2" s="53" t="n"/>
      <c r="C2" s="54" t="n"/>
      <c r="D2" s="53" t="n"/>
      <c r="E2" s="55" t="n"/>
      <c r="F2" s="56" t="n"/>
      <c r="G2" s="56" t="n"/>
      <c r="H2" s="56" t="n"/>
      <c r="I2" s="57" t="n"/>
    </row>
    <row r="3" ht="15.75" customHeight="1">
      <c r="A3" s="52" t="n"/>
      <c r="B3" s="53" t="n"/>
      <c r="C3" s="54" t="n"/>
      <c r="D3" s="53" t="n"/>
      <c r="E3" s="55" t="n"/>
      <c r="F3" s="56" t="n"/>
      <c r="G3" s="56" t="n"/>
      <c r="H3" s="56" t="n"/>
      <c r="I3" s="57" t="n"/>
    </row>
    <row r="4" ht="15.75" customHeight="1">
      <c r="A4" s="52" t="n"/>
      <c r="B4" s="53" t="n"/>
      <c r="C4" s="54" t="n"/>
      <c r="D4" s="53" t="n"/>
      <c r="E4" s="55" t="n"/>
      <c r="F4" s="56" t="n"/>
      <c r="G4" s="56" t="n"/>
      <c r="H4" s="56" t="n"/>
      <c r="I4" s="57" t="n"/>
    </row>
    <row r="5" ht="15.75" customHeight="1">
      <c r="A5" s="52" t="n"/>
      <c r="B5" s="53" t="n"/>
      <c r="C5" s="54" t="n"/>
      <c r="D5" s="53" t="n"/>
      <c r="E5" s="55" t="n"/>
      <c r="F5" s="56" t="n"/>
      <c r="G5" s="56" t="n"/>
      <c r="H5" s="56" t="n"/>
      <c r="I5" s="57" t="n"/>
    </row>
    <row r="6" ht="15.75" customHeight="1">
      <c r="A6" s="52" t="n"/>
      <c r="B6" s="53" t="n"/>
      <c r="C6" s="54" t="n"/>
      <c r="D6" s="53" t="n"/>
      <c r="E6" s="55" t="n"/>
      <c r="F6" s="56" t="n"/>
      <c r="G6" s="56" t="n"/>
      <c r="H6" s="56" t="n"/>
      <c r="I6" s="57" t="n"/>
    </row>
    <row r="7" ht="9" customHeight="1">
      <c r="A7" s="52" t="n"/>
      <c r="B7" s="53" t="inlineStr">
        <is>
          <t>              </t>
        </is>
      </c>
      <c r="C7" s="54" t="n"/>
      <c r="D7" s="53" t="n"/>
      <c r="E7" s="55" t="n"/>
      <c r="F7" s="56" t="n"/>
      <c r="G7" s="56" t="n"/>
      <c r="H7" s="56" t="n"/>
      <c r="I7" s="57" t="n"/>
      <c r="K7" s="58" t="n"/>
    </row>
    <row r="8" ht="31.5" customHeight="1">
      <c r="A8" s="217" t="inlineStr">
        <is>
          <t>BÁO GIÁ - QUOTATION</t>
        </is>
      </c>
      <c r="I8" s="218" t="n"/>
      <c r="K8" s="59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</row>
    <row r="9" ht="16.5" customFormat="1" customHeight="1" s="60">
      <c r="A9" s="166" t="inlineStr">
        <is>
          <t>Kính Gửi:</t>
        </is>
      </c>
      <c r="B9" s="219" t="n"/>
      <c r="C9" s="168" t="n"/>
      <c r="D9" s="220" t="n"/>
      <c r="E9" s="220" t="n"/>
      <c r="F9" s="220" t="n"/>
      <c r="G9" s="220" t="n"/>
      <c r="H9" s="220" t="n"/>
      <c r="I9" s="219" t="n"/>
      <c r="J9" s="59" t="n"/>
      <c r="K9" s="61" t="n"/>
      <c r="L9" s="62" t="inlineStr">
        <is>
          <t>Mã SP</t>
        </is>
      </c>
      <c r="M9" s="60" t="inlineStr">
        <is>
          <t>van</t>
        </is>
      </c>
      <c r="P9" s="63">
        <f>(M9+N9)*2/1000*O9/1000</f>
        <v/>
      </c>
      <c r="Q9" s="64">
        <f>M9*N9/1000000</f>
        <v/>
      </c>
      <c r="R9" s="65">
        <f>P9+Q9</f>
        <v/>
      </c>
      <c r="S9" s="66" t="n"/>
      <c r="T9" s="63" t="n"/>
      <c r="U9" s="63" t="n"/>
      <c r="V9" s="67">
        <f>(IF(OR(L9="t",L9="TA",),(M9+N9)*2/1000*S9/1000,(IF(OR(L9="F",L9="M"),(M9*N9),IF(L9="d",(M9+N9+U9/1/2)*2*S9,IF(L9="tb",((M9+N9)*2*S9+M9*N9),IF(OR(L9="g",L9="n"),((M9+O9)*SQRT((S9)^2+((N9-P9)/2)^2)+(N9+P9)*SQRT((S9)^2+((M9-O9)/2)^2)),IF(LEFT(L9,1)="c",(2*(PI()*((M9+T9)^2-T9^2)+N9*(PI()*(M9+T9)+PI()*T9))*(U9/360)),IF(LEFT(L9,2)="vt",((M9+O9)*SQRT((S9)^2+((N9-P9)/2)^2)+(N9+P9)*SQRT((S9)^2+((M9-O9)/2)^2)+((T9+200)^2-(T9/2)^2*3.14)),IF(L9="tt",(2*(M9+N9)*(S9-1.5*O9)+(PI()*(3*O9+2/3*M9)*(O9+2/3*M9+P9+N9)-(P9+N9)*(PI()*1.5*O9))/8+(PI()*(3*Q9+2/3*M9)*(Q9+2/3*M9+R9+N9)-(R9+N9)*(PI()*1.5*Q9))/8),0))))))))/10^6))</f>
        <v/>
      </c>
      <c r="W9" s="68" t="n">
        <v>3000000</v>
      </c>
      <c r="X9" s="68" t="n">
        <v>300000</v>
      </c>
    </row>
    <row r="10" ht="16.5" customFormat="1" customHeight="1" s="60">
      <c r="A10" s="161" t="inlineStr">
        <is>
          <t>Địa Chỉ:</t>
        </is>
      </c>
      <c r="B10" s="221" t="n"/>
      <c r="C10" s="222" t="n"/>
      <c r="D10" s="223" t="n"/>
      <c r="E10" s="223" t="n"/>
      <c r="F10" s="223" t="n"/>
      <c r="G10" s="223" t="n"/>
      <c r="H10" s="223" t="n"/>
      <c r="I10" s="224" t="n"/>
      <c r="J10" s="59" t="n"/>
      <c r="K10" s="61" t="inlineStr">
        <is>
          <t xml:space="preserve">Ống </t>
        </is>
      </c>
      <c r="L10" s="63" t="inlineStr">
        <is>
          <t>t</t>
        </is>
      </c>
      <c r="M10" s="60" t="inlineStr">
        <is>
          <t>cửa NAN THẲNG</t>
        </is>
      </c>
      <c r="O10" s="63">
        <f>(M10+N10)*2/1000</f>
        <v/>
      </c>
      <c r="P10" s="63">
        <f>N10/20-1</f>
        <v/>
      </c>
      <c r="Q10" s="63">
        <f>P10*M10/1000</f>
        <v/>
      </c>
      <c r="R10" s="63" t="n"/>
      <c r="S10" s="66" t="n"/>
      <c r="T10" s="63" t="n"/>
      <c r="U10" s="63" t="n"/>
      <c r="V10" s="67">
        <f>(IF(OR(L10="t",L10="TA",),(M10+N10)*2/1000*S10/1000,(IF(OR(L10="F",L10="M"),(M10*N10),IF(L10="d",(M10+N10+U10/1/2)*2*S10,IF(L10="tb",((M10+N10)*2*S10+M10*N10),IF(OR(L10="g",L10="n"),((M10+O10)*SQRT((S10)^2+((N10-P10)/2)^2)+(N10+P10)*SQRT((S10)^2+((M10-O10)/2)^2)),IF(LEFT(L10,1)="c",(2*(PI()*((M10+T10)^2-T10^2)+N10*(PI()*(M10+T10)+PI()*T10))*(U10/360)),IF(LEFT(L10,2)="vt",((M10+O10)*SQRT((S10)^2+((N10-P10)/2)^2)+(N10+P10)*SQRT((S10)^2+((M10-O10)/2)^2)+((T10+200)^2-(T10/2)^2*3.14)),IF(L10="tt",(2*(M10+N10)*(S10-1.5*O10)+(PI()*(3*O10+2/3*M10)*(O10+2/3*M10+P10+N10)-(P10+N10)*(PI()*1.5*O10))/8+(PI()*(3*Q10+2/3*M10)*(Q10+2/3*M10+R10+N10)-(R10+N10)*(PI()*1.5*Q10))/8),0))))))))/10^6))</f>
        <v/>
      </c>
      <c r="W10" s="68" t="n">
        <v>50000</v>
      </c>
      <c r="X10" s="68" t="n">
        <v>13000</v>
      </c>
    </row>
    <row r="11" ht="16.5" customFormat="1" customHeight="1" s="60">
      <c r="A11" s="161" t="inlineStr">
        <is>
          <t xml:space="preserve">Mã số thuế: </t>
        </is>
      </c>
      <c r="B11" s="221" t="n"/>
      <c r="C11" s="225" t="n"/>
      <c r="D11" s="223" t="n"/>
      <c r="E11" s="223" t="n"/>
      <c r="F11" s="223" t="n"/>
      <c r="G11" s="226" t="n"/>
      <c r="H11" s="69" t="inlineStr">
        <is>
          <t>Người Nhận</t>
        </is>
      </c>
      <c r="I11" s="70" t="n"/>
      <c r="J11" s="59" t="n"/>
      <c r="K11" s="63" t="inlineStr">
        <is>
          <t xml:space="preserve">Ống bịt đầu </t>
        </is>
      </c>
      <c r="L11" s="63" t="inlineStr">
        <is>
          <t>tb</t>
        </is>
      </c>
      <c r="M11" s="60" t="inlineStr">
        <is>
          <t>cửa NAN Z</t>
        </is>
      </c>
      <c r="O11" s="63">
        <f>(M11+N11)*2/1000</f>
        <v/>
      </c>
      <c r="P11" s="63">
        <f>N11/40-1</f>
        <v/>
      </c>
      <c r="Q11" s="63">
        <f>P11*M11/1000</f>
        <v/>
      </c>
      <c r="R11" s="63" t="n"/>
      <c r="S11" s="66" t="n"/>
      <c r="T11" s="63" t="n"/>
      <c r="U11" s="63" t="n"/>
      <c r="V11" s="67">
        <f>(IF(OR(L11="t",L11="TA",),(M11+N11)*2/1000*S11/1000,(IF(OR(L11="F",L11="M"),(M11*N11),IF(L11="d",(M11+N11+U11/1/2)*2*S11,IF(L11="tb",((M11+N11)*2*S11+M11*N11),IF(OR(L11="g",L11="n"),((M11+O11)*SQRT((S11)^2+((N11-P11)/2)^2)+(N11+P11)*SQRT((S11)^2+((M11-O11)/2)^2)),IF(LEFT(L11,1)="c",(2*(PI()*((M11+T11)^2-T11^2)+N11*(PI()*(M11+T11)+PI()*T11))*(U11/360)),IF(LEFT(L11,2)="vt",((M11+O11)*SQRT((S11)^2+((N11-P11)/2)^2)+(N11+P11)*SQRT((S11)^2+((M11-O11)/2)^2)+((T11+200)^2-(T11/2)^2*3.14)),IF(L11="tt",(2*(M11+N11)*(S11-1.5*O11)+(PI()*(3*O11+2/3*M11)*(O11+2/3*M11+P11+N11)-(P11+N11)*(PI()*1.5*O11))/8+(PI()*(3*Q11+2/3*M11)*(Q11+2/3*M11+R11+N11)-(R11+N11)*(PI()*1.5*Q11))/8),0))))))))/10^6))</f>
        <v/>
      </c>
      <c r="W11" s="68" t="n">
        <v>90000</v>
      </c>
      <c r="X11" s="68" t="n">
        <v>50000</v>
      </c>
    </row>
    <row r="12" ht="15.75" customFormat="1" customHeight="1" s="60">
      <c r="A12" s="161" t="inlineStr">
        <is>
          <t>Số ĐT:</t>
        </is>
      </c>
      <c r="B12" s="221" t="n"/>
      <c r="C12" s="227" t="n"/>
      <c r="D12" s="223" t="n"/>
      <c r="E12" s="223" t="n"/>
      <c r="F12" s="223" t="n"/>
      <c r="G12" s="226" t="n"/>
      <c r="H12" s="69" t="inlineStr">
        <is>
          <t>Số điện thoại</t>
        </is>
      </c>
      <c r="I12" s="71" t="n"/>
      <c r="J12" s="59" t="n"/>
      <c r="K12" s="63" t="inlineStr">
        <is>
          <t>Côn thu / giảm cấp</t>
        </is>
      </c>
      <c r="L12" s="63" t="inlineStr">
        <is>
          <t>g</t>
        </is>
      </c>
      <c r="M12" s="60" t="inlineStr">
        <is>
          <t>cổ bạt tròn</t>
        </is>
      </c>
      <c r="P12" s="60">
        <f>M11*3.14/1000</f>
        <v/>
      </c>
    </row>
    <row r="13" ht="16.5" customFormat="1" customHeight="1" s="60">
      <c r="A13" s="179" t="inlineStr">
        <is>
          <t>Bên Bán:</t>
        </is>
      </c>
      <c r="B13" s="221" t="n"/>
      <c r="C13" s="228" t="inlineStr">
        <is>
          <t>: Công ty TNHH sản xuất,  thương mại và xây lắp Kaiyo Việt Nam</t>
        </is>
      </c>
      <c r="D13" s="223" t="n"/>
      <c r="E13" s="223" t="n"/>
      <c r="F13" s="223" t="n"/>
      <c r="G13" s="226" t="n"/>
      <c r="H13" s="72" t="inlineStr">
        <is>
          <t>Dự án</t>
        </is>
      </c>
      <c r="I13" s="73" t="n"/>
      <c r="K13" s="63" t="inlineStr">
        <is>
          <t>Zét / Down-up</t>
        </is>
      </c>
      <c r="L13" s="63" t="inlineStr">
        <is>
          <t>d</t>
        </is>
      </c>
      <c r="P13" s="60" t="inlineStr">
        <is>
          <t>Tôn mạ kẽm dày 0.58mm+ Bông khoáng dày 50 tỉ trọng 80 mm + tôn soi lỗ dày 0.38 mm</t>
        </is>
      </c>
    </row>
    <row r="14" ht="16.5" customFormat="1" customHeight="1" s="60">
      <c r="A14" s="161" t="inlineStr">
        <is>
          <t>Xưởng sản xuất &amp; VPGD:</t>
        </is>
      </c>
      <c r="B14" s="221" t="n"/>
      <c r="C14" s="74" t="inlineStr">
        <is>
          <t>: Lô F49, Cụm Công nghiệp Làng nghề Minh Phương, Xã Nguyệt Đức, Tỉnh Phú Thọ, Việt Nam</t>
        </is>
      </c>
      <c r="D14" s="75" t="n"/>
      <c r="E14" s="75" t="n"/>
      <c r="F14" s="75" t="n"/>
      <c r="G14" s="76" t="n"/>
      <c r="H14" s="72" t="inlineStr">
        <is>
          <t>Số BG :</t>
        </is>
      </c>
      <c r="I14" s="77" t="n"/>
      <c r="K14" s="63" t="inlineStr">
        <is>
          <t xml:space="preserve">Cút / Co </t>
        </is>
      </c>
      <c r="L14" s="63" t="inlineStr">
        <is>
          <t>cv</t>
        </is>
      </c>
    </row>
    <row r="15" ht="16.5" customFormat="1" customHeight="1" s="60">
      <c r="A15" s="161" t="inlineStr">
        <is>
          <t>Số ĐT:</t>
        </is>
      </c>
      <c r="B15" s="221" t="n"/>
      <c r="C15" s="74" t="inlineStr">
        <is>
          <t>: 0987869292</t>
        </is>
      </c>
      <c r="D15" s="75" t="n"/>
      <c r="E15" s="75" t="n"/>
      <c r="F15" s="75" t="n"/>
      <c r="G15" s="76" t="n"/>
      <c r="H15" s="72" t="inlineStr">
        <is>
          <t>Ngày BG</t>
        </is>
      </c>
      <c r="I15" s="73" t="n"/>
      <c r="K15" s="63" t="inlineStr">
        <is>
          <t>Chân rẽ / Nối chân</t>
        </is>
      </c>
      <c r="L15" s="63" t="inlineStr">
        <is>
          <t>n</t>
        </is>
      </c>
    </row>
    <row r="16" ht="15.75" customFormat="1" customHeight="1" s="60">
      <c r="A16" s="161" t="inlineStr">
        <is>
          <t>Mã số thuế:</t>
        </is>
      </c>
      <c r="B16" s="221" t="n"/>
      <c r="C16" s="74" t="inlineStr">
        <is>
          <t>: 2500582409</t>
        </is>
      </c>
      <c r="D16" s="75" t="n"/>
      <c r="E16" s="75" t="n"/>
      <c r="F16" s="75" t="n"/>
      <c r="G16" s="76" t="n"/>
      <c r="H16" s="78" t="inlineStr">
        <is>
          <t xml:space="preserve">Hiệu lực           </t>
        </is>
      </c>
      <c r="I16" s="79" t="inlineStr">
        <is>
          <t>03-05 ngày</t>
        </is>
      </c>
      <c r="K16" s="63" t="inlineStr">
        <is>
          <t xml:space="preserve">Côn đầu quạt </t>
        </is>
      </c>
      <c r="L16" s="63" t="inlineStr">
        <is>
          <t>vt</t>
        </is>
      </c>
    </row>
    <row r="17" ht="15.75" customFormat="1" customHeight="1" s="60">
      <c r="A17" s="184" t="inlineStr">
        <is>
          <t>N/V Báo Giá:</t>
        </is>
      </c>
      <c r="B17" s="229" t="n"/>
      <c r="C17" s="80" t="inlineStr">
        <is>
          <t>: Mr. Kaiyo VN</t>
        </is>
      </c>
      <c r="D17" s="81" t="n"/>
      <c r="E17" s="81" t="n"/>
      <c r="F17" s="81" t="n"/>
      <c r="G17" s="82" t="n"/>
      <c r="H17" s="83" t="inlineStr">
        <is>
          <t xml:space="preserve">Tiến độ </t>
        </is>
      </c>
      <c r="I17" s="84" t="inlineStr">
        <is>
          <t>Theo dự án</t>
        </is>
      </c>
      <c r="K17" s="63" t="inlineStr">
        <is>
          <t>tê/chạc 3</t>
        </is>
      </c>
      <c r="L17" s="63" t="inlineStr">
        <is>
          <t>tt</t>
        </is>
      </c>
      <c r="X17" s="85" t="n"/>
    </row>
    <row r="18" ht="15.75" customFormat="1" customHeight="1" s="60">
      <c r="A18" s="230" t="inlineStr">
        <is>
          <t>Kaiyo Việt Nam chân thành cảm ơn quý khách đã tin tưởng sản phẩm của chúng tôi</t>
        </is>
      </c>
      <c r="I18" s="218" t="n"/>
      <c r="K18" s="63" t="n"/>
      <c r="L18" s="63" t="n"/>
      <c r="X18" s="85" t="n"/>
    </row>
    <row r="19" ht="15.75" customFormat="1" customHeight="1" s="60" thickBot="1">
      <c r="A19" s="231" t="inlineStr">
        <is>
          <t>Theo yêu cầu của quý khách, chúng tôi xin được gửi báo giá với nội dung như sau:</t>
        </is>
      </c>
      <c r="B19" s="232" t="n"/>
      <c r="C19" s="232" t="n"/>
      <c r="D19" s="232" t="n"/>
      <c r="E19" s="232" t="n"/>
      <c r="F19" s="232" t="n"/>
      <c r="G19" s="232" t="n"/>
      <c r="H19" s="232" t="n"/>
      <c r="I19" s="233" t="n"/>
      <c r="X19" s="86" t="n"/>
    </row>
    <row r="20" ht="20.25" customHeight="1" thickBot="1" thickTop="1">
      <c r="A20" s="192" t="n"/>
      <c r="K20" s="208" t="inlineStr">
        <is>
          <t>Tên vật tư, thiết bị</t>
        </is>
      </c>
      <c r="L20" s="194" t="inlineStr">
        <is>
          <t>BẢNG TÍNH DIỆN TÍCH</t>
        </is>
      </c>
      <c r="W20" s="196" t="inlineStr">
        <is>
          <t>BẢNG TÍNH GIÁ TRỊ</t>
        </is>
      </c>
      <c r="X20" s="234" t="n"/>
    </row>
    <row r="21" ht="18.75" customHeight="1" thickBot="1" thickTop="1">
      <c r="A21" s="198" t="inlineStr">
        <is>
          <t>STT</t>
        </is>
      </c>
      <c r="B21" s="200" t="inlineStr">
        <is>
          <t>Tên vật tư, thiết bị</t>
        </is>
      </c>
      <c r="C21" s="200" t="inlineStr">
        <is>
          <t xml:space="preserve">Vật liệu chế tạo </t>
        </is>
      </c>
      <c r="D21" s="200" t="inlineStr">
        <is>
          <t xml:space="preserve">Xuất Xứ </t>
        </is>
      </c>
      <c r="E21" s="200" t="inlineStr">
        <is>
          <t>Đơn vị</t>
        </is>
      </c>
      <c r="F21" s="203" t="inlineStr">
        <is>
          <t>Khối lượng</t>
        </is>
      </c>
      <c r="G21" s="203" t="inlineStr">
        <is>
          <t xml:space="preserve">Đơn giá </t>
        </is>
      </c>
      <c r="H21" s="203" t="inlineStr">
        <is>
          <t xml:space="preserve">Thành tiền </t>
        </is>
      </c>
      <c r="I21" s="205" t="inlineStr">
        <is>
          <t>Ghi chú</t>
        </is>
      </c>
      <c r="K21" s="235" t="n"/>
      <c r="L21" s="89" t="inlineStr">
        <is>
          <t>Mã SP</t>
        </is>
      </c>
      <c r="M21" s="90" t="inlineStr">
        <is>
          <t>W1</t>
        </is>
      </c>
      <c r="N21" s="90" t="inlineStr">
        <is>
          <t>H1</t>
        </is>
      </c>
      <c r="O21" s="90" t="inlineStr">
        <is>
          <t>W2</t>
        </is>
      </c>
      <c r="P21" s="90" t="inlineStr">
        <is>
          <t>H2</t>
        </is>
      </c>
      <c r="Q21" s="90" t="inlineStr">
        <is>
          <t>W3</t>
        </is>
      </c>
      <c r="R21" s="90" t="inlineStr">
        <is>
          <t>H3</t>
        </is>
      </c>
      <c r="S21" s="90" t="inlineStr">
        <is>
          <t>L/H</t>
        </is>
      </c>
      <c r="T21" s="90" t="inlineStr">
        <is>
          <t>R/D</t>
        </is>
      </c>
      <c r="U21" s="90" t="inlineStr">
        <is>
          <t>E</t>
        </is>
      </c>
      <c r="V21" s="91" t="inlineStr">
        <is>
          <t xml:space="preserve">DIỆN TÍCH /CÁI </t>
        </is>
      </c>
      <c r="W21" s="92" t="inlineStr">
        <is>
          <t>Giá tôn</t>
        </is>
      </c>
      <c r="X21" s="93" t="inlineStr">
        <is>
          <t>hệ số</t>
        </is>
      </c>
    </row>
    <row r="22" ht="17.25" customHeight="1">
      <c r="A22" s="236" t="n"/>
      <c r="B22" s="216" t="n"/>
      <c r="C22" s="216" t="n"/>
      <c r="D22" s="216" t="n"/>
      <c r="E22" s="216" t="n"/>
      <c r="F22" s="216" t="n"/>
      <c r="G22" s="94" t="inlineStr">
        <is>
          <t xml:space="preserve">Vật tư </t>
        </is>
      </c>
      <c r="H22" s="94" t="inlineStr">
        <is>
          <t>Vật tư</t>
        </is>
      </c>
      <c r="I22" s="237" t="n"/>
      <c r="K22" s="95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7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/>
      </c>
      <c r="W22" s="68" t="n"/>
      <c r="X22" s="98" t="n"/>
    </row>
    <row r="23" ht="24.95" customHeight="1">
      <c r="A23" s="151" t="inlineStr">
        <is>
          <t>A</t>
        </is>
      </c>
      <c r="B23" s="152" t="inlineStr">
        <is>
          <t>KHU VỰC CHUNG</t>
        </is>
      </c>
      <c r="C23" s="101" t="n"/>
      <c r="D23" s="102" t="n"/>
      <c r="E23" s="103" t="n"/>
      <c r="F23" s="104" t="n"/>
      <c r="G23" s="105" t="n"/>
      <c r="H23" s="105" t="n"/>
      <c r="I23" s="106" t="n"/>
      <c r="K23" s="107">
        <f>+B23</f>
        <v/>
      </c>
      <c r="L23" s="108" t="n"/>
      <c r="M23" s="108" t="n"/>
      <c r="N23" s="108" t="n"/>
      <c r="O23" s="63" t="n"/>
      <c r="P23" s="63" t="n"/>
      <c r="Q23" s="64" t="n"/>
      <c r="R23" s="65" t="n"/>
      <c r="S23" s="66" t="n"/>
      <c r="T23" s="63" t="n"/>
      <c r="U23" s="63" t="n"/>
      <c r="V23" s="97">
        <f>(IF(OR(L23="t",L23="TA",),(M23+N23)*2/1000*S23/1000,(IF(OR(L23="F",L23="M"),(M23*N23),IF(L23="d",(M23+N23+U23/1/2)*2*S23,IF(L23="tb",((M23+N23)*2*S23+M23*N23),IF(OR(L23="g",L23="n"),((M23+O23)*SQRT((S23)^2+((N23-P23)/2)^2)+(N23+P23)*SQRT((S23)^2+((M23-O23)/2)^2)),IF(LEFT(L23,1)="c",(2*(PI()*((M23+T23)^2-T23^2)+N23*(PI()*(M23+T23)+PI()*T23))*(U23/360)),IF(LEFT(L23,2)="vt",((M23+O23)*SQRT((S23)^2+((N23-P23)/2)^2)+(N23+P23)*SQRT((S23)^2+((M23-O23)/2)^2)+((T23+200)^2-(T23/2)^2*3.14)),IF(L23="tt",(2*(M23+N23)*(S23-1.5*O23)+(PI()*(3*O23+2/3*M23)*(O23+2/3*M23+P23+N23)-(P23+N23)*(PI()*1.5*O23))/8+(PI()*(3*Q23+2/3*M23)*(Q23+2/3*M23+R23+N23)-(R23+N23)*(PI()*1.5*Q23))/8),0))))))))/10^6))</f>
        <v/>
      </c>
      <c r="W23" s="68" t="n"/>
      <c r="X23" s="68" t="n"/>
    </row>
    <row r="24" ht="24.95" customHeight="1">
      <c r="A24" s="151" t="inlineStr">
        <is>
          <t>I</t>
        </is>
      </c>
      <c r="B24" s="152" t="inlineStr">
        <is>
          <t>Điều hòa cục bộ treo tường</t>
        </is>
      </c>
      <c r="C24" s="101" t="n"/>
      <c r="D24" s="102" t="n"/>
      <c r="E24" s="103" t="n"/>
      <c r="F24" s="104" t="n"/>
      <c r="G24" s="105" t="n"/>
      <c r="H24" s="105" t="n"/>
      <c r="I24" s="106" t="n"/>
      <c r="K24" s="107">
        <f>+B24</f>
        <v/>
      </c>
      <c r="L24" s="108" t="n"/>
      <c r="M24" s="108" t="n"/>
      <c r="N24" s="108" t="n"/>
      <c r="O24" s="63" t="n"/>
      <c r="P24" s="63" t="n"/>
      <c r="Q24" s="64" t="n"/>
      <c r="R24" s="65" t="n"/>
      <c r="S24" s="66" t="n"/>
      <c r="T24" s="63" t="n"/>
      <c r="U24" s="63" t="n"/>
      <c r="V24" s="97">
        <f>(IF(OR(L24="t",L24="TA",),(M24+N24)*2/1000*S24/1000,(IF(OR(L24="F",L24="M"),(M24*N24),IF(L24="d",(M24+N24+U24/1/2)*2*S24,IF(L24="tb",((M24+N24)*2*S24+M24*N24),IF(OR(L24="g",L24="n"),((M24+O24)*SQRT((S24)^2+((N24-P24)/2)^2)+(N24+P24)*SQRT((S24)^2+((M24-O24)/2)^2)),IF(LEFT(L24,1)="c",(2*(PI()*((M24+T24)^2-T24^2)+N24*(PI()*(M24+T24)+PI()*T24))*(U24/360)),IF(LEFT(L24,2)="vt",((M24+O24)*SQRT((S24)^2+((N24-P24)/2)^2)+(N24+P24)*SQRT((S24)^2+((M24-O24)/2)^2)+((T24+200)^2-(T24/2)^2*3.14)),IF(L24="tt",(2*(M24+N24)*(S24-1.5*O24)+(PI()*(3*O24+2/3*M24)*(O24+2/3*M24+P24+N24)-(P24+N24)*(PI()*1.5*O24))/8+(PI()*(3*Q24+2/3*M24)*(Q24+2/3*M24+R24+N24)-(R24+N24)*(PI()*1.5*Q24))/8),0))))))))/10^6))</f>
        <v/>
      </c>
      <c r="W24" s="68" t="n"/>
      <c r="X24" s="68" t="n"/>
    </row>
    <row r="25" ht="36" customHeight="1">
      <c r="A25" s="99" t="inlineStr">
        <is>
          <t>1</t>
        </is>
      </c>
      <c r="B25" s="100" t="inlineStr">
        <is>
          <t>Điều hòa cục bộ casette
Công suất lạnh: 10kW</t>
        </is>
      </c>
      <c r="C25" s="101" t="n"/>
      <c r="D25" s="102" t="n"/>
      <c r="E25" s="103" t="inlineStr">
        <is>
          <t>Bộ</t>
        </is>
      </c>
      <c r="F25" s="104" t="n">
        <v>1</v>
      </c>
      <c r="G25" s="105" t="n"/>
      <c r="H25" s="105" t="n">
        <v>0</v>
      </c>
      <c r="I25" s="106" t="n"/>
      <c r="K25" s="107" t="inlineStr">
        <is>
          <t>Điều hòa cục bộ casette
Công suất lạnh: 10kW</t>
        </is>
      </c>
      <c r="L25" s="108" t="inlineStr"/>
      <c r="M25" s="108" t="n"/>
      <c r="N25" s="108" t="n"/>
      <c r="O25" s="63" t="n"/>
      <c r="P25" s="63" t="n"/>
      <c r="Q25" s="64" t="n"/>
      <c r="R25" s="65" t="n"/>
      <c r="S25" s="66" t="n">
        <v>1200</v>
      </c>
      <c r="T25" s="63" t="n"/>
      <c r="U25" s="63" t="n"/>
      <c r="V25" s="97" t="n">
        <v>0</v>
      </c>
      <c r="W25" s="68" t="n">
        <v>0</v>
      </c>
      <c r="X25" s="68" t="n">
        <v>0</v>
      </c>
      <c r="Z25" t="n">
        <v>0</v>
      </c>
      <c r="AA25" t="n">
        <v>0</v>
      </c>
    </row>
    <row r="26" ht="24.95" customHeight="1">
      <c r="A26" s="99" t="inlineStr">
        <is>
          <t>2</t>
        </is>
      </c>
      <c r="B26" s="100" t="inlineStr">
        <is>
          <t>Giá đỡ cho dàn Dàn nóng</t>
        </is>
      </c>
      <c r="C26" s="101" t="n"/>
      <c r="D26" s="102" t="n"/>
      <c r="E26" s="103" t="inlineStr">
        <is>
          <t>Bộ</t>
        </is>
      </c>
      <c r="F26" s="104" t="n">
        <v>1</v>
      </c>
      <c r="G26" s="105" t="n"/>
      <c r="H26" s="105" t="n">
        <v>0</v>
      </c>
      <c r="I26" s="106" t="n"/>
      <c r="K26" s="107" t="inlineStr">
        <is>
          <t>Giá đỡ cho dàn Dàn nóng</t>
        </is>
      </c>
      <c r="L26" s="108" t="inlineStr"/>
      <c r="M26" s="108" t="n"/>
      <c r="N26" s="108" t="n"/>
      <c r="O26" s="63" t="n"/>
      <c r="P26" s="63" t="n"/>
      <c r="Q26" s="64" t="n"/>
      <c r="R26" s="65" t="n"/>
      <c r="S26" s="66" t="n">
        <v>1200</v>
      </c>
      <c r="T26" s="63" t="n"/>
      <c r="U26" s="63" t="n"/>
      <c r="V26" s="97" t="n">
        <v>0</v>
      </c>
      <c r="W26" s="68" t="n">
        <v>0</v>
      </c>
      <c r="X26" s="68" t="n">
        <v>0</v>
      </c>
      <c r="Z26" t="n">
        <v>0</v>
      </c>
      <c r="AA26" t="n">
        <v>0</v>
      </c>
    </row>
    <row r="27" ht="24.95" customHeight="1">
      <c r="A27" s="99" t="inlineStr">
        <is>
          <t>3</t>
        </is>
      </c>
      <c r="B27" s="100" t="inlineStr">
        <is>
          <t>Vật tư phụ</t>
        </is>
      </c>
      <c r="C27" s="101" t="n"/>
      <c r="D27" s="102" t="n"/>
      <c r="E27" s="103" t="inlineStr">
        <is>
          <t>lô</t>
        </is>
      </c>
      <c r="F27" s="104" t="n">
        <v>1</v>
      </c>
      <c r="G27" s="105" t="n"/>
      <c r="H27" s="105" t="n">
        <v>0</v>
      </c>
      <c r="I27" s="106" t="n"/>
      <c r="K27" s="107" t="inlineStr">
        <is>
          <t>Vật tư phụ</t>
        </is>
      </c>
      <c r="L27" s="108" t="inlineStr"/>
      <c r="M27" s="108" t="n"/>
      <c r="N27" s="108" t="n"/>
      <c r="O27" s="63" t="n"/>
      <c r="P27" s="63" t="n"/>
      <c r="Q27" s="64" t="n"/>
      <c r="R27" s="65" t="n"/>
      <c r="S27" s="66" t="n">
        <v>1200</v>
      </c>
      <c r="T27" s="63" t="n"/>
      <c r="U27" s="63" t="n"/>
      <c r="V27" s="97" t="n">
        <v>0</v>
      </c>
      <c r="W27" s="68" t="n">
        <v>0</v>
      </c>
      <c r="X27" s="68" t="n">
        <v>0</v>
      </c>
      <c r="Z27" t="n">
        <v>0</v>
      </c>
      <c r="AA27" t="n">
        <v>0</v>
      </c>
    </row>
    <row r="28" ht="24.95" customHeight="1">
      <c r="A28" s="151" t="inlineStr">
        <is>
          <t>II</t>
        </is>
      </c>
      <c r="B28" s="152" t="inlineStr">
        <is>
          <t>Điều hòa trung tâm VRF</t>
        </is>
      </c>
      <c r="C28" s="101" t="n"/>
      <c r="D28" s="102" t="n"/>
      <c r="E28" s="103" t="n"/>
      <c r="F28" s="104" t="n">
        <v>0</v>
      </c>
      <c r="G28" s="105" t="n"/>
      <c r="H28" s="105">
        <f>G28*F28</f>
        <v/>
      </c>
      <c r="I28" s="106" t="n"/>
      <c r="K28" s="107">
        <f>+B28</f>
        <v/>
      </c>
      <c r="L28" s="108" t="n"/>
      <c r="M28" s="108" t="n"/>
      <c r="N28" s="108" t="n"/>
      <c r="O28" s="63" t="n"/>
      <c r="P28" s="63" t="n"/>
      <c r="Q28" s="64" t="n"/>
      <c r="R28" s="65" t="n"/>
      <c r="S28" s="66" t="n"/>
      <c r="T28" s="63" t="n"/>
      <c r="U28" s="63" t="n"/>
      <c r="V28" s="97" t="n"/>
      <c r="W28" s="68" t="n"/>
      <c r="X28" s="68" t="n"/>
    </row>
    <row r="29" ht="24.95" customHeight="1">
      <c r="A29" s="99" t="inlineStr">
        <is>
          <t>1</t>
        </is>
      </c>
      <c r="B29" s="100" t="inlineStr">
        <is>
          <t>Tổ hợp dàn nóng VRV/VRF 1 chiều công suất 50HP</t>
        </is>
      </c>
      <c r="C29" s="101" t="n"/>
      <c r="D29" s="102" t="n"/>
      <c r="E29" s="103" t="inlineStr">
        <is>
          <t>Bộ</t>
        </is>
      </c>
      <c r="F29" s="104" t="n">
        <v>1</v>
      </c>
      <c r="G29" s="105" t="n"/>
      <c r="H29" s="105" t="n">
        <v>0</v>
      </c>
      <c r="I29" s="106" t="n"/>
      <c r="K29" s="107" t="inlineStr">
        <is>
          <t>Tổ hợp dàn nóng VRV/VRF 1 chiều công suất 50HP</t>
        </is>
      </c>
      <c r="L29" s="108" t="inlineStr"/>
      <c r="M29" s="108" t="n"/>
      <c r="N29" s="108" t="n"/>
      <c r="O29" s="63" t="n"/>
      <c r="P29" s="63" t="n"/>
      <c r="Q29" s="64" t="n"/>
      <c r="R29" s="65" t="n"/>
      <c r="S29" s="66" t="n">
        <v>1200</v>
      </c>
      <c r="T29" s="63" t="n"/>
      <c r="U29" s="63" t="n"/>
      <c r="V29" s="97" t="n">
        <v>0</v>
      </c>
      <c r="W29" s="68" t="n">
        <v>0</v>
      </c>
      <c r="X29" s="68" t="n">
        <v>0</v>
      </c>
      <c r="Z29" t="n">
        <v>0</v>
      </c>
      <c r="AA29" t="n">
        <v>0</v>
      </c>
    </row>
    <row r="30" ht="24.95" customHeight="1">
      <c r="A30" s="99" t="inlineStr">
        <is>
          <t>2</t>
        </is>
      </c>
      <c r="B30" s="100" t="inlineStr">
        <is>
          <t>Tổ hợp dàn nóng VRV/VRF 1 chiều công suất 42HP</t>
        </is>
      </c>
      <c r="C30" s="101" t="n"/>
      <c r="D30" s="102" t="n"/>
      <c r="E30" s="103" t="inlineStr">
        <is>
          <t>Bộ</t>
        </is>
      </c>
      <c r="F30" s="104" t="n">
        <v>2</v>
      </c>
      <c r="G30" s="105" t="n"/>
      <c r="H30" s="105" t="n">
        <v>0</v>
      </c>
      <c r="I30" s="106" t="n"/>
      <c r="K30" s="107" t="inlineStr">
        <is>
          <t>Tổ hợp dàn nóng VRV/VRF 1 chiều công suất 42HP</t>
        </is>
      </c>
      <c r="L30" s="108" t="inlineStr"/>
      <c r="M30" s="108" t="n"/>
      <c r="N30" s="108" t="n"/>
      <c r="O30" s="63" t="n"/>
      <c r="P30" s="63" t="n"/>
      <c r="Q30" s="64" t="n"/>
      <c r="R30" s="65" t="n"/>
      <c r="S30" s="66" t="n">
        <v>1200</v>
      </c>
      <c r="T30" s="63" t="n"/>
      <c r="U30" s="63" t="n"/>
      <c r="V30" s="97" t="n">
        <v>0</v>
      </c>
      <c r="W30" s="68" t="n">
        <v>0</v>
      </c>
      <c r="X30" s="68" t="n">
        <v>0</v>
      </c>
      <c r="Z30" t="n">
        <v>0</v>
      </c>
      <c r="AA30" t="n">
        <v>0</v>
      </c>
    </row>
    <row r="31" ht="24.95" customHeight="1">
      <c r="A31" s="99" t="inlineStr">
        <is>
          <t>3</t>
        </is>
      </c>
      <c r="B31" s="100" t="inlineStr">
        <is>
          <t>Tổ hợp dàn nóng VRV/VRF 1 chiều công suất 40HP</t>
        </is>
      </c>
      <c r="C31" s="101" t="n"/>
      <c r="D31" s="102" t="n"/>
      <c r="E31" s="103" t="inlineStr">
        <is>
          <t>Bộ</t>
        </is>
      </c>
      <c r="F31" s="104" t="n">
        <v>1</v>
      </c>
      <c r="G31" s="105" t="n"/>
      <c r="H31" s="105" t="n">
        <v>0</v>
      </c>
      <c r="I31" s="106" t="n"/>
      <c r="K31" s="107" t="inlineStr">
        <is>
          <t>Tổ hợp dàn nóng VRV/VRF 1 chiều công suất 40HP</t>
        </is>
      </c>
      <c r="L31" s="108" t="inlineStr"/>
      <c r="M31" s="108" t="n"/>
      <c r="N31" s="108" t="n"/>
      <c r="O31" s="63" t="n"/>
      <c r="P31" s="63" t="n"/>
      <c r="Q31" s="64" t="n"/>
      <c r="R31" s="65" t="n"/>
      <c r="S31" s="66" t="n">
        <v>1200</v>
      </c>
      <c r="T31" s="63" t="n"/>
      <c r="U31" s="63" t="n"/>
      <c r="V31" s="97" t="n">
        <v>0</v>
      </c>
      <c r="W31" s="68" t="n">
        <v>0</v>
      </c>
      <c r="X31" s="68" t="n">
        <v>0</v>
      </c>
      <c r="Z31" t="n">
        <v>0</v>
      </c>
      <c r="AA31" t="n">
        <v>0</v>
      </c>
    </row>
    <row r="32" ht="24.95" customHeight="1">
      <c r="A32" s="99" t="inlineStr">
        <is>
          <t>4</t>
        </is>
      </c>
      <c r="B32" s="100" t="inlineStr">
        <is>
          <t>Tổ hợp dàn nóng VRV/VRF 1 chiều công suất 38HP</t>
        </is>
      </c>
      <c r="C32" s="101" t="n"/>
      <c r="D32" s="102" t="n"/>
      <c r="E32" s="103" t="inlineStr">
        <is>
          <t>Bộ</t>
        </is>
      </c>
      <c r="F32" s="104" t="n">
        <v>1</v>
      </c>
      <c r="G32" s="105" t="n"/>
      <c r="H32" s="105" t="n">
        <v>0</v>
      </c>
      <c r="I32" s="106" t="n"/>
      <c r="K32" s="107" t="inlineStr">
        <is>
          <t>Tổ hợp dàn nóng VRV/VRF 1 chiều công suất 38HP</t>
        </is>
      </c>
      <c r="L32" s="108" t="inlineStr"/>
      <c r="M32" s="108" t="n"/>
      <c r="N32" s="108" t="n"/>
      <c r="O32" s="63" t="n"/>
      <c r="P32" s="63" t="n"/>
      <c r="Q32" s="64" t="n"/>
      <c r="R32" s="65" t="n"/>
      <c r="S32" s="66" t="n">
        <v>1200</v>
      </c>
      <c r="T32" s="63" t="n"/>
      <c r="U32" s="63" t="n"/>
      <c r="V32" s="97" t="n">
        <v>0</v>
      </c>
      <c r="W32" s="68" t="n">
        <v>0</v>
      </c>
      <c r="X32" s="68" t="n">
        <v>0</v>
      </c>
      <c r="Z32" t="n">
        <v>0</v>
      </c>
      <c r="AA32" t="n">
        <v>0</v>
      </c>
    </row>
    <row r="33" ht="24.95" customHeight="1">
      <c r="A33" s="99" t="inlineStr">
        <is>
          <t>5</t>
        </is>
      </c>
      <c r="B33" s="100" t="inlineStr">
        <is>
          <t>Tổ hợp dàn nóng VRV/VRF 1 chiều công suất 24HP</t>
        </is>
      </c>
      <c r="C33" s="101" t="n"/>
      <c r="D33" s="102" t="n"/>
      <c r="E33" s="103" t="inlineStr">
        <is>
          <t>Bộ</t>
        </is>
      </c>
      <c r="F33" s="104" t="n">
        <v>1</v>
      </c>
      <c r="G33" s="105" t="n"/>
      <c r="H33" s="105" t="n">
        <v>0</v>
      </c>
      <c r="I33" s="106" t="n"/>
      <c r="K33" s="107" t="inlineStr">
        <is>
          <t>Tổ hợp dàn nóng VRV/VRF 1 chiều công suất 24HP</t>
        </is>
      </c>
      <c r="L33" s="108" t="inlineStr"/>
      <c r="M33" s="108" t="n"/>
      <c r="N33" s="108" t="n"/>
      <c r="O33" s="63" t="n"/>
      <c r="P33" s="63" t="n"/>
      <c r="Q33" s="64" t="n"/>
      <c r="R33" s="65" t="n"/>
      <c r="S33" s="66" t="n">
        <v>1200</v>
      </c>
      <c r="T33" s="63" t="n"/>
      <c r="U33" s="63" t="n"/>
      <c r="V33" s="97" t="n">
        <v>0</v>
      </c>
      <c r="W33" s="68" t="n">
        <v>0</v>
      </c>
      <c r="X33" s="68" t="n">
        <v>0</v>
      </c>
      <c r="Z33" t="n">
        <v>0</v>
      </c>
      <c r="AA33" t="n">
        <v>0</v>
      </c>
    </row>
    <row r="34" ht="24.95" customHeight="1">
      <c r="A34" s="99" t="inlineStr">
        <is>
          <t>6</t>
        </is>
      </c>
      <c r="B34" s="100" t="inlineStr">
        <is>
          <t>Tổ hợp dàn nóng VRV/VRF 1 chiều công suất 20HP</t>
        </is>
      </c>
      <c r="C34" s="101" t="n"/>
      <c r="D34" s="102" t="n"/>
      <c r="E34" s="103" t="inlineStr">
        <is>
          <t>Bộ</t>
        </is>
      </c>
      <c r="F34" s="104" t="n">
        <v>8</v>
      </c>
      <c r="G34" s="105" t="n"/>
      <c r="H34" s="105" t="n">
        <v>0</v>
      </c>
      <c r="I34" s="106" t="n"/>
      <c r="K34" s="107" t="inlineStr">
        <is>
          <t>Tổ hợp dàn nóng VRV/VRF 1 chiều công suất 20HP</t>
        </is>
      </c>
      <c r="L34" s="108" t="inlineStr"/>
      <c r="M34" s="108" t="n"/>
      <c r="N34" s="108" t="n"/>
      <c r="O34" s="63" t="n"/>
      <c r="P34" s="63" t="n"/>
      <c r="Q34" s="64" t="n"/>
      <c r="R34" s="65" t="n"/>
      <c r="S34" s="66" t="n">
        <v>1200</v>
      </c>
      <c r="T34" s="63" t="n"/>
      <c r="U34" s="63" t="n"/>
      <c r="V34" s="97" t="n">
        <v>0</v>
      </c>
      <c r="W34" s="68" t="n">
        <v>0</v>
      </c>
      <c r="X34" s="68" t="n">
        <v>0</v>
      </c>
      <c r="Z34" t="n">
        <v>0</v>
      </c>
      <c r="AA34" t="n">
        <v>0</v>
      </c>
    </row>
    <row r="35" ht="24.95" customHeight="1">
      <c r="A35" s="99" t="inlineStr">
        <is>
          <t>7</t>
        </is>
      </c>
      <c r="B35" s="100" t="inlineStr">
        <is>
          <t>Tổ hợp dàn nóng VRV/VRF 1 chiều công suất 16HP</t>
        </is>
      </c>
      <c r="C35" s="101" t="n"/>
      <c r="D35" s="102" t="n"/>
      <c r="E35" s="103" t="inlineStr">
        <is>
          <t>Bộ</t>
        </is>
      </c>
      <c r="F35" s="104" t="n">
        <v>1</v>
      </c>
      <c r="G35" s="105" t="n"/>
      <c r="H35" s="105" t="n">
        <v>0</v>
      </c>
      <c r="I35" s="106" t="n"/>
      <c r="K35" s="107" t="inlineStr">
        <is>
          <t>Tổ hợp dàn nóng VRV/VRF 1 chiều công suất 16HP</t>
        </is>
      </c>
      <c r="L35" s="108" t="inlineStr"/>
      <c r="M35" s="108" t="n"/>
      <c r="N35" s="108" t="n"/>
      <c r="O35" s="63" t="n"/>
      <c r="P35" s="63" t="n"/>
      <c r="Q35" s="64" t="n"/>
      <c r="R35" s="65" t="n"/>
      <c r="S35" s="66" t="n">
        <v>1200</v>
      </c>
      <c r="T35" s="63" t="n"/>
      <c r="U35" s="63" t="n"/>
      <c r="V35" s="97" t="n">
        <v>0</v>
      </c>
      <c r="W35" s="68" t="n">
        <v>0</v>
      </c>
      <c r="X35" s="68" t="n">
        <v>0</v>
      </c>
      <c r="Z35" t="n">
        <v>0</v>
      </c>
      <c r="AA35" t="n">
        <v>0</v>
      </c>
    </row>
    <row r="36" ht="39.95" customHeight="1">
      <c r="A36" s="99" t="inlineStr">
        <is>
          <t>8</t>
        </is>
      </c>
      <c r="B36" s="100" t="inlineStr">
        <is>
          <t>Dàn lạnh âm trần nối ống gió
CSL: 2.8kW</t>
        </is>
      </c>
      <c r="C36" s="101" t="n"/>
      <c r="D36" s="102" t="n"/>
      <c r="E36" s="103" t="inlineStr">
        <is>
          <t>Bộ</t>
        </is>
      </c>
      <c r="F36" s="104" t="n">
        <v>20</v>
      </c>
      <c r="G36" s="105" t="n"/>
      <c r="H36" s="105" t="n">
        <v>0</v>
      </c>
      <c r="I36" s="106" t="n"/>
      <c r="K36" s="107" t="inlineStr">
        <is>
          <t>Dàn lạnh âm trần nối ống gió
CSL: 2.8kW</t>
        </is>
      </c>
      <c r="L36" s="108" t="inlineStr">
        <is>
          <t>t</t>
        </is>
      </c>
      <c r="M36" s="108" t="n"/>
      <c r="N36" s="108" t="n"/>
      <c r="O36" s="63" t="n"/>
      <c r="P36" s="63" t="n"/>
      <c r="Q36" s="64" t="n"/>
      <c r="R36" s="65" t="n"/>
      <c r="S36" s="66" t="n">
        <v>1200</v>
      </c>
      <c r="T36" s="63" t="n"/>
      <c r="U36" s="63" t="n"/>
      <c r="V36" s="97" t="n">
        <v>0</v>
      </c>
      <c r="W36" s="68" t="n">
        <v>0</v>
      </c>
      <c r="X36" s="68" t="n">
        <v>1</v>
      </c>
      <c r="Z36" t="n">
        <v>0</v>
      </c>
      <c r="AA36" t="n">
        <v>0</v>
      </c>
    </row>
    <row r="37" ht="39.95" customHeight="1">
      <c r="A37" s="99" t="inlineStr">
        <is>
          <t>9</t>
        </is>
      </c>
      <c r="B37" s="100" t="inlineStr">
        <is>
          <t>Dàn lạnh âm trần nối ống gió
CSL: 4.5kW</t>
        </is>
      </c>
      <c r="C37" s="101" t="n"/>
      <c r="D37" s="102" t="n"/>
      <c r="E37" s="103" t="inlineStr">
        <is>
          <t>Bộ</t>
        </is>
      </c>
      <c r="F37" s="104" t="n">
        <v>48</v>
      </c>
      <c r="G37" s="105" t="n"/>
      <c r="H37" s="105" t="n">
        <v>0</v>
      </c>
      <c r="I37" s="106" t="n"/>
      <c r="K37" s="107" t="inlineStr">
        <is>
          <t>Dàn lạnh âm trần nối ống gió
CSL: 4.5kW</t>
        </is>
      </c>
      <c r="L37" s="108" t="inlineStr">
        <is>
          <t>t</t>
        </is>
      </c>
      <c r="M37" s="108" t="n"/>
      <c r="N37" s="108" t="n"/>
      <c r="O37" s="63" t="n"/>
      <c r="P37" s="63" t="n"/>
      <c r="Q37" s="64" t="n"/>
      <c r="R37" s="65" t="n"/>
      <c r="S37" s="66" t="n">
        <v>1200</v>
      </c>
      <c r="T37" s="63" t="n"/>
      <c r="U37" s="63" t="n"/>
      <c r="V37" s="97" t="n">
        <v>0</v>
      </c>
      <c r="W37" s="68" t="n">
        <v>0</v>
      </c>
      <c r="X37" s="68" t="n">
        <v>1</v>
      </c>
      <c r="Z37" t="n">
        <v>0</v>
      </c>
      <c r="AA37" t="n">
        <v>0</v>
      </c>
    </row>
    <row r="38" ht="39.95" customHeight="1">
      <c r="A38" s="99" t="inlineStr">
        <is>
          <t>10</t>
        </is>
      </c>
      <c r="B38" s="100" t="inlineStr">
        <is>
          <t>Dàn lạnh âm trần nối ống gió
CSL: 5.6kW</t>
        </is>
      </c>
      <c r="C38" s="101" t="n"/>
      <c r="D38" s="102" t="n"/>
      <c r="E38" s="103" t="inlineStr">
        <is>
          <t>Bộ</t>
        </is>
      </c>
      <c r="F38" s="104" t="n">
        <v>57</v>
      </c>
      <c r="G38" s="105" t="n"/>
      <c r="H38" s="105" t="n">
        <v>0</v>
      </c>
      <c r="I38" s="106" t="n"/>
      <c r="K38" s="107" t="inlineStr">
        <is>
          <t>Dàn lạnh âm trần nối ống gió
CSL: 5.6kW</t>
        </is>
      </c>
      <c r="L38" s="108" t="inlineStr">
        <is>
          <t>t</t>
        </is>
      </c>
      <c r="M38" s="108" t="n"/>
      <c r="N38" s="108" t="n"/>
      <c r="O38" s="63" t="n"/>
      <c r="P38" s="63" t="n"/>
      <c r="Q38" s="64" t="n"/>
      <c r="R38" s="65" t="n"/>
      <c r="S38" s="66" t="n">
        <v>1200</v>
      </c>
      <c r="T38" s="63" t="n"/>
      <c r="U38" s="63" t="n"/>
      <c r="V38" s="97" t="n">
        <v>0</v>
      </c>
      <c r="W38" s="68" t="n">
        <v>0</v>
      </c>
      <c r="X38" s="68" t="n">
        <v>1</v>
      </c>
      <c r="Z38" t="n">
        <v>0</v>
      </c>
      <c r="AA38" t="n">
        <v>0</v>
      </c>
    </row>
    <row r="39" ht="39.95" customHeight="1">
      <c r="A39" s="99" t="inlineStr">
        <is>
          <t>11</t>
        </is>
      </c>
      <c r="B39" s="100" t="inlineStr">
        <is>
          <t>Dàn lạnh âm trần nối ống gió
CSL: 7.1kW</t>
        </is>
      </c>
      <c r="C39" s="101" t="n"/>
      <c r="D39" s="102" t="n"/>
      <c r="E39" s="103" t="inlineStr">
        <is>
          <t>Bộ</t>
        </is>
      </c>
      <c r="F39" s="104" t="n">
        <v>4</v>
      </c>
      <c r="G39" s="105" t="n"/>
      <c r="H39" s="105" t="n">
        <v>0</v>
      </c>
      <c r="I39" s="106" t="n"/>
      <c r="K39" s="107" t="inlineStr">
        <is>
          <t>Dàn lạnh âm trần nối ống gió
CSL: 7.1kW</t>
        </is>
      </c>
      <c r="L39" s="108" t="inlineStr">
        <is>
          <t>t</t>
        </is>
      </c>
      <c r="M39" s="108" t="n"/>
      <c r="N39" s="108" t="n"/>
      <c r="O39" s="63" t="n"/>
      <c r="P39" s="63" t="n"/>
      <c r="Q39" s="64" t="n"/>
      <c r="R39" s="65" t="n"/>
      <c r="S39" s="66" t="n">
        <v>1200</v>
      </c>
      <c r="T39" s="63" t="n"/>
      <c r="U39" s="63" t="n"/>
      <c r="V39" s="97" t="n">
        <v>0</v>
      </c>
      <c r="W39" s="68" t="n">
        <v>0</v>
      </c>
      <c r="X39" s="68" t="n">
        <v>1</v>
      </c>
      <c r="Z39" t="n">
        <v>0</v>
      </c>
      <c r="AA39" t="n">
        <v>0</v>
      </c>
    </row>
    <row r="40" ht="39.95" customHeight="1">
      <c r="A40" s="99" t="inlineStr">
        <is>
          <t>12</t>
        </is>
      </c>
      <c r="B40" s="100" t="inlineStr">
        <is>
          <t>Dàn lạnh âm trần nối ống gió
CSL: 9.0kW</t>
        </is>
      </c>
      <c r="C40" s="101" t="n"/>
      <c r="D40" s="102" t="n"/>
      <c r="E40" s="103" t="inlineStr">
        <is>
          <t>Bộ</t>
        </is>
      </c>
      <c r="F40" s="104" t="n">
        <v>7</v>
      </c>
      <c r="G40" s="105" t="n"/>
      <c r="H40" s="105" t="n">
        <v>0</v>
      </c>
      <c r="I40" s="106" t="n"/>
      <c r="K40" s="107" t="inlineStr">
        <is>
          <t>Dàn lạnh âm trần nối ống gió
CSL: 9.0kW</t>
        </is>
      </c>
      <c r="L40" s="108" t="inlineStr">
        <is>
          <t>t</t>
        </is>
      </c>
      <c r="M40" s="108" t="n"/>
      <c r="N40" s="108" t="n"/>
      <c r="O40" s="63" t="n"/>
      <c r="P40" s="63" t="n"/>
      <c r="Q40" s="64" t="n"/>
      <c r="R40" s="65" t="n"/>
      <c r="S40" s="66" t="n">
        <v>1200</v>
      </c>
      <c r="T40" s="63" t="n"/>
      <c r="U40" s="63" t="n"/>
      <c r="V40" s="97" t="n">
        <v>0</v>
      </c>
      <c r="W40" s="68" t="n">
        <v>0</v>
      </c>
      <c r="X40" s="68" t="n">
        <v>1</v>
      </c>
      <c r="Z40" t="n">
        <v>0</v>
      </c>
      <c r="AA40" t="n">
        <v>0</v>
      </c>
    </row>
    <row r="41" ht="39.95" customHeight="1">
      <c r="A41" s="99" t="inlineStr">
        <is>
          <t>13</t>
        </is>
      </c>
      <c r="B41" s="100" t="inlineStr">
        <is>
          <t>Dàn lạnh âm trần nối ống gió
CSL: 11.2kW</t>
        </is>
      </c>
      <c r="C41" s="101" t="n"/>
      <c r="D41" s="102" t="n"/>
      <c r="E41" s="103" t="inlineStr">
        <is>
          <t>Bộ</t>
        </is>
      </c>
      <c r="F41" s="104" t="n">
        <v>20</v>
      </c>
      <c r="G41" s="105" t="n"/>
      <c r="H41" s="105" t="n">
        <v>0</v>
      </c>
      <c r="I41" s="106" t="n"/>
      <c r="K41" s="107" t="inlineStr">
        <is>
          <t>Dàn lạnh âm trần nối ống gió
CSL: 11.2kW</t>
        </is>
      </c>
      <c r="L41" s="108" t="inlineStr">
        <is>
          <t>t</t>
        </is>
      </c>
      <c r="M41" s="108" t="n"/>
      <c r="N41" s="108" t="n"/>
      <c r="O41" s="63" t="n"/>
      <c r="P41" s="63" t="n"/>
      <c r="Q41" s="64" t="n"/>
      <c r="R41" s="65" t="n"/>
      <c r="S41" s="66" t="n">
        <v>1200</v>
      </c>
      <c r="T41" s="63" t="n"/>
      <c r="U41" s="63" t="n"/>
      <c r="V41" s="97" t="n">
        <v>0</v>
      </c>
      <c r="W41" s="68" t="n">
        <v>0</v>
      </c>
      <c r="X41" s="68" t="n">
        <v>1</v>
      </c>
      <c r="Z41" t="n">
        <v>0</v>
      </c>
      <c r="AA41" t="n">
        <v>0</v>
      </c>
    </row>
    <row r="42" ht="39.95" customHeight="1">
      <c r="A42" s="99" t="inlineStr">
        <is>
          <t>14</t>
        </is>
      </c>
      <c r="B42" s="100" t="inlineStr">
        <is>
          <t>Dàn lạnh âm trần nối ống gió
CSL: 14kW</t>
        </is>
      </c>
      <c r="C42" s="101" t="n"/>
      <c r="D42" s="102" t="n"/>
      <c r="E42" s="103" t="inlineStr">
        <is>
          <t>Bộ</t>
        </is>
      </c>
      <c r="F42" s="104" t="n">
        <v>10</v>
      </c>
      <c r="G42" s="105" t="n"/>
      <c r="H42" s="105" t="n">
        <v>0</v>
      </c>
      <c r="I42" s="106" t="n"/>
      <c r="K42" s="107" t="inlineStr">
        <is>
          <t>Dàn lạnh âm trần nối ống gió
CSL: 14kW</t>
        </is>
      </c>
      <c r="L42" s="108" t="inlineStr">
        <is>
          <t>t</t>
        </is>
      </c>
      <c r="M42" s="108" t="n"/>
      <c r="N42" s="108" t="n"/>
      <c r="O42" s="63" t="n"/>
      <c r="P42" s="63" t="n"/>
      <c r="Q42" s="64" t="n"/>
      <c r="R42" s="65" t="n"/>
      <c r="S42" s="66" t="n">
        <v>1200</v>
      </c>
      <c r="T42" s="63" t="n"/>
      <c r="U42" s="63" t="n"/>
      <c r="V42" s="97" t="n">
        <v>0</v>
      </c>
      <c r="W42" s="68" t="n">
        <v>0</v>
      </c>
      <c r="X42" s="68" t="n">
        <v>1</v>
      </c>
      <c r="Z42" t="n">
        <v>0</v>
      </c>
      <c r="AA42" t="n">
        <v>0</v>
      </c>
    </row>
    <row r="43" ht="39.95" customHeight="1">
      <c r="A43" s="99" t="inlineStr">
        <is>
          <t>15</t>
        </is>
      </c>
      <c r="B43" s="100" t="inlineStr">
        <is>
          <t>Dàn lạnh âm trần nối ống gió
CSL: 16kW</t>
        </is>
      </c>
      <c r="C43" s="101" t="n"/>
      <c r="D43" s="102" t="n"/>
      <c r="E43" s="103" t="inlineStr">
        <is>
          <t>Bộ</t>
        </is>
      </c>
      <c r="F43" s="104" t="n">
        <v>4</v>
      </c>
      <c r="G43" s="105" t="n"/>
      <c r="H43" s="105" t="n">
        <v>0</v>
      </c>
      <c r="I43" s="106" t="n"/>
      <c r="K43" s="107" t="inlineStr">
        <is>
          <t>Dàn lạnh âm trần nối ống gió
CSL: 16kW</t>
        </is>
      </c>
      <c r="L43" s="108" t="inlineStr">
        <is>
          <t>t</t>
        </is>
      </c>
      <c r="M43" s="108" t="n"/>
      <c r="N43" s="108" t="n"/>
      <c r="O43" s="63" t="n"/>
      <c r="P43" s="63" t="n"/>
      <c r="Q43" s="64" t="n"/>
      <c r="R43" s="65" t="n"/>
      <c r="S43" s="66" t="n">
        <v>1200</v>
      </c>
      <c r="T43" s="63" t="n"/>
      <c r="U43" s="63" t="n"/>
      <c r="V43" s="97" t="n">
        <v>0</v>
      </c>
      <c r="W43" s="68" t="n">
        <v>0</v>
      </c>
      <c r="X43" s="68" t="n">
        <v>1</v>
      </c>
      <c r="Z43" t="n">
        <v>0</v>
      </c>
      <c r="AA43" t="n">
        <v>0</v>
      </c>
    </row>
    <row r="44" ht="39.95" customHeight="1">
      <c r="A44" s="99" t="inlineStr">
        <is>
          <t>16</t>
        </is>
      </c>
      <c r="B44" s="100" t="inlineStr">
        <is>
          <t>Dàn lạnh cassette âm trần
CSL: 2.2kW</t>
        </is>
      </c>
      <c r="C44" s="101" t="n"/>
      <c r="D44" s="102" t="n"/>
      <c r="E44" s="103" t="inlineStr">
        <is>
          <t>Bộ</t>
        </is>
      </c>
      <c r="F44" s="104" t="n">
        <v>6</v>
      </c>
      <c r="G44" s="105" t="n"/>
      <c r="H44" s="105" t="n">
        <v>0</v>
      </c>
      <c r="I44" s="106" t="n"/>
      <c r="K44" s="107" t="inlineStr">
        <is>
          <t>Dàn lạnh cassette âm trần
CSL: 2.2kW</t>
        </is>
      </c>
      <c r="L44" s="108" t="inlineStr"/>
      <c r="M44" s="108" t="n"/>
      <c r="N44" s="108" t="n"/>
      <c r="O44" s="63" t="n"/>
      <c r="P44" s="63" t="n"/>
      <c r="Q44" s="64" t="n"/>
      <c r="R44" s="65" t="n"/>
      <c r="S44" s="66" t="n">
        <v>1200</v>
      </c>
      <c r="T44" s="63" t="n"/>
      <c r="U44" s="63" t="n"/>
      <c r="V44" s="97" t="n">
        <v>0</v>
      </c>
      <c r="W44" s="68" t="n">
        <v>0</v>
      </c>
      <c r="X44" s="68" t="n">
        <v>0</v>
      </c>
      <c r="Z44" t="n">
        <v>0</v>
      </c>
      <c r="AA44" t="n">
        <v>0</v>
      </c>
    </row>
    <row r="45" ht="39.95" customHeight="1">
      <c r="A45" s="99" t="inlineStr">
        <is>
          <t>17</t>
        </is>
      </c>
      <c r="B45" s="100" t="inlineStr">
        <is>
          <t>Dàn lạnh cassette âm trần
CSL: 4.5kW</t>
        </is>
      </c>
      <c r="C45" s="101" t="n"/>
      <c r="D45" s="102" t="n"/>
      <c r="E45" s="103" t="inlineStr">
        <is>
          <t>Bộ</t>
        </is>
      </c>
      <c r="F45" s="104" t="n">
        <v>1</v>
      </c>
      <c r="G45" s="105" t="n"/>
      <c r="H45" s="105" t="n">
        <v>0</v>
      </c>
      <c r="I45" s="106" t="n"/>
      <c r="K45" s="107" t="inlineStr">
        <is>
          <t>Dàn lạnh cassette âm trần
CSL: 4.5kW</t>
        </is>
      </c>
      <c r="L45" s="108" t="inlineStr"/>
      <c r="M45" s="108" t="n"/>
      <c r="N45" s="108" t="n"/>
      <c r="O45" s="63" t="n"/>
      <c r="P45" s="63" t="n"/>
      <c r="Q45" s="64" t="n"/>
      <c r="R45" s="65" t="n"/>
      <c r="S45" s="66" t="n">
        <v>1200</v>
      </c>
      <c r="T45" s="63" t="n"/>
      <c r="U45" s="63" t="n"/>
      <c r="V45" s="97" t="n">
        <v>0</v>
      </c>
      <c r="W45" s="68" t="n">
        <v>0</v>
      </c>
      <c r="X45" s="68" t="n">
        <v>0</v>
      </c>
      <c r="Z45" t="n">
        <v>0</v>
      </c>
      <c r="AA45" t="n">
        <v>0</v>
      </c>
    </row>
    <row r="46" ht="39.95" customHeight="1">
      <c r="A46" s="99" t="inlineStr">
        <is>
          <t>18</t>
        </is>
      </c>
      <c r="B46" s="100" t="inlineStr">
        <is>
          <t>Dàn lạnh cassette âm trần
CSL: 5.6kW</t>
        </is>
      </c>
      <c r="C46" s="101" t="n"/>
      <c r="D46" s="102" t="n"/>
      <c r="E46" s="103" t="inlineStr">
        <is>
          <t>Bộ</t>
        </is>
      </c>
      <c r="F46" s="104" t="n">
        <v>2</v>
      </c>
      <c r="G46" s="105" t="n"/>
      <c r="H46" s="105" t="n">
        <v>0</v>
      </c>
      <c r="I46" s="106" t="n"/>
      <c r="K46" s="107" t="inlineStr">
        <is>
          <t>Dàn lạnh cassette âm trần
CSL: 5.6kW</t>
        </is>
      </c>
      <c r="L46" s="108" t="inlineStr"/>
      <c r="M46" s="108" t="n"/>
      <c r="N46" s="108" t="n"/>
      <c r="O46" s="63" t="n"/>
      <c r="P46" s="63" t="n"/>
      <c r="Q46" s="64" t="n"/>
      <c r="R46" s="65" t="n"/>
      <c r="S46" s="66" t="n">
        <v>1200</v>
      </c>
      <c r="T46" s="63" t="n"/>
      <c r="U46" s="63" t="n"/>
      <c r="V46" s="97" t="n">
        <v>0</v>
      </c>
      <c r="W46" s="68" t="n">
        <v>0</v>
      </c>
      <c r="X46" s="68" t="n">
        <v>0</v>
      </c>
      <c r="Z46" t="n">
        <v>0</v>
      </c>
      <c r="AA46" t="n">
        <v>0</v>
      </c>
    </row>
    <row r="47" ht="24.95" customHeight="1">
      <c r="A47" s="99" t="inlineStr">
        <is>
          <t>19</t>
        </is>
      </c>
      <c r="B47" s="100" t="inlineStr">
        <is>
          <t>Mặt nạ cho dàn lạnh Cassette âm trần</t>
        </is>
      </c>
      <c r="C47" s="101" t="n"/>
      <c r="D47" s="102" t="n"/>
      <c r="E47" s="103" t="inlineStr">
        <is>
          <t>Bộ</t>
        </is>
      </c>
      <c r="F47" s="104" t="n">
        <v>9</v>
      </c>
      <c r="G47" s="105" t="n"/>
      <c r="H47" s="105" t="n">
        <v>0</v>
      </c>
      <c r="I47" s="106" t="n"/>
      <c r="K47" s="107" t="inlineStr">
        <is>
          <t>Mặt nạ cho dàn lạnh Cassette âm trần</t>
        </is>
      </c>
      <c r="L47" s="108" t="inlineStr"/>
      <c r="M47" s="108" t="n"/>
      <c r="N47" s="108" t="n"/>
      <c r="O47" s="63" t="n"/>
      <c r="P47" s="63" t="n"/>
      <c r="Q47" s="64" t="n"/>
      <c r="R47" s="65" t="n"/>
      <c r="S47" s="66" t="n">
        <v>1200</v>
      </c>
      <c r="T47" s="63" t="n"/>
      <c r="U47" s="63" t="n"/>
      <c r="V47" s="97" t="n">
        <v>0</v>
      </c>
      <c r="W47" s="68" t="n">
        <v>0</v>
      </c>
      <c r="X47" s="68" t="n">
        <v>0</v>
      </c>
      <c r="Z47" t="n">
        <v>0</v>
      </c>
      <c r="AA47" t="n">
        <v>0</v>
      </c>
    </row>
    <row r="48" ht="24.95" customHeight="1">
      <c r="A48" s="99" t="inlineStr">
        <is>
          <t>20</t>
        </is>
      </c>
      <c r="B48" s="100" t="inlineStr">
        <is>
          <t>Điều khiển gắn tường cho dàn lạnh</t>
        </is>
      </c>
      <c r="C48" s="101" t="n"/>
      <c r="D48" s="102" t="n"/>
      <c r="E48" s="103" t="inlineStr">
        <is>
          <t>Bộ</t>
        </is>
      </c>
      <c r="F48" s="104" t="n">
        <v>179</v>
      </c>
      <c r="G48" s="105" t="n"/>
      <c r="H48" s="105" t="n">
        <v>0</v>
      </c>
      <c r="I48" s="106" t="n"/>
      <c r="K48" s="107" t="inlineStr">
        <is>
          <t>Điều khiển gắn tường cho dàn lạnh</t>
        </is>
      </c>
      <c r="L48" s="108" t="inlineStr"/>
      <c r="M48" s="108" t="n"/>
      <c r="N48" s="108" t="n"/>
      <c r="O48" s="63" t="n"/>
      <c r="P48" s="63" t="n"/>
      <c r="Q48" s="64" t="n"/>
      <c r="R48" s="65" t="n"/>
      <c r="S48" s="66" t="n">
        <v>1200</v>
      </c>
      <c r="T48" s="63" t="n"/>
      <c r="U48" s="63" t="n"/>
      <c r="V48" s="97" t="n">
        <v>0</v>
      </c>
      <c r="W48" s="68" t="n">
        <v>0</v>
      </c>
      <c r="X48" s="68" t="n">
        <v>0</v>
      </c>
      <c r="Z48" t="n">
        <v>0</v>
      </c>
      <c r="AA48" t="n">
        <v>0</v>
      </c>
    </row>
    <row r="49" ht="24.95" customHeight="1">
      <c r="A49" s="99" t="inlineStr">
        <is>
          <t>21</t>
        </is>
      </c>
      <c r="B49" s="100" t="inlineStr">
        <is>
          <t>Bộ chia gas dàn nóng</t>
        </is>
      </c>
      <c r="C49" s="101" t="n"/>
      <c r="D49" s="102" t="n"/>
      <c r="E49" s="103" t="inlineStr">
        <is>
          <t>Bộ</t>
        </is>
      </c>
      <c r="F49" s="104" t="n">
        <v>7</v>
      </c>
      <c r="G49" s="105" t="n"/>
      <c r="H49" s="105" t="n">
        <v>0</v>
      </c>
      <c r="I49" s="106" t="n"/>
      <c r="K49" s="107" t="inlineStr">
        <is>
          <t>Bộ chia gas dàn nóng</t>
        </is>
      </c>
      <c r="L49" s="108" t="inlineStr"/>
      <c r="M49" s="108" t="n"/>
      <c r="N49" s="108" t="n"/>
      <c r="O49" s="63" t="n"/>
      <c r="P49" s="63" t="n"/>
      <c r="Q49" s="64" t="n"/>
      <c r="R49" s="65" t="n"/>
      <c r="S49" s="66" t="n">
        <v>1200</v>
      </c>
      <c r="T49" s="63" t="n"/>
      <c r="U49" s="63" t="n"/>
      <c r="V49" s="97" t="n">
        <v>0</v>
      </c>
      <c r="W49" s="68" t="n">
        <v>0</v>
      </c>
      <c r="X49" s="68" t="n">
        <v>0</v>
      </c>
      <c r="Z49" t="n">
        <v>0</v>
      </c>
      <c r="AA49" t="n">
        <v>0</v>
      </c>
    </row>
    <row r="50" ht="24.95" customHeight="1">
      <c r="A50" s="99" t="inlineStr">
        <is>
          <t>22</t>
        </is>
      </c>
      <c r="B50" s="100" t="inlineStr">
        <is>
          <t>Bộ chia gas dàn lạnh</t>
        </is>
      </c>
      <c r="C50" s="101" t="n"/>
      <c r="D50" s="102" t="n"/>
      <c r="E50" s="103" t="inlineStr">
        <is>
          <t>Bộ</t>
        </is>
      </c>
      <c r="F50" s="104" t="n">
        <v>179</v>
      </c>
      <c r="G50" s="105" t="n"/>
      <c r="H50" s="105" t="n">
        <v>0</v>
      </c>
      <c r="I50" s="106" t="n"/>
      <c r="K50" s="107" t="inlineStr">
        <is>
          <t>Bộ chia gas dàn lạnh</t>
        </is>
      </c>
      <c r="L50" s="108" t="inlineStr"/>
      <c r="M50" s="108" t="n"/>
      <c r="N50" s="108" t="n"/>
      <c r="O50" s="63" t="n"/>
      <c r="P50" s="63" t="n"/>
      <c r="Q50" s="64" t="n"/>
      <c r="R50" s="65" t="n"/>
      <c r="S50" s="66" t="n">
        <v>1200</v>
      </c>
      <c r="T50" s="63" t="n"/>
      <c r="U50" s="63" t="n"/>
      <c r="V50" s="97" t="n">
        <v>0</v>
      </c>
      <c r="W50" s="68" t="n">
        <v>0</v>
      </c>
      <c r="X50" s="68" t="n">
        <v>0</v>
      </c>
      <c r="Z50" t="n">
        <v>0</v>
      </c>
      <c r="AA50" t="n">
        <v>0</v>
      </c>
    </row>
    <row r="51" ht="24.95" customHeight="1">
      <c r="A51" s="99" t="inlineStr">
        <is>
          <t>23</t>
        </is>
      </c>
      <c r="B51" s="100" t="inlineStr">
        <is>
          <t>Bộ điều khiển trung tâm</t>
        </is>
      </c>
      <c r="C51" s="101" t="n"/>
      <c r="D51" s="102" t="n"/>
      <c r="E51" s="103" t="inlineStr">
        <is>
          <t>Bộ</t>
        </is>
      </c>
      <c r="F51" s="104" t="n">
        <v>1</v>
      </c>
      <c r="G51" s="105" t="n"/>
      <c r="H51" s="105" t="n">
        <v>0</v>
      </c>
      <c r="I51" s="106" t="n"/>
      <c r="K51" s="107" t="inlineStr">
        <is>
          <t>Bộ điều khiển trung tâm</t>
        </is>
      </c>
      <c r="L51" s="108" t="inlineStr"/>
      <c r="M51" s="108" t="n"/>
      <c r="N51" s="108" t="n"/>
      <c r="O51" s="63" t="n"/>
      <c r="P51" s="63" t="n"/>
      <c r="Q51" s="64" t="n"/>
      <c r="R51" s="65" t="n"/>
      <c r="S51" s="66" t="n">
        <v>1200</v>
      </c>
      <c r="T51" s="63" t="n"/>
      <c r="U51" s="63" t="n"/>
      <c r="V51" s="97" t="n">
        <v>0</v>
      </c>
      <c r="W51" s="68" t="n">
        <v>0</v>
      </c>
      <c r="X51" s="68" t="n">
        <v>0</v>
      </c>
      <c r="Z51" t="n">
        <v>0</v>
      </c>
      <c r="AA51" t="n">
        <v>0</v>
      </c>
    </row>
    <row r="52" ht="24.95" customHeight="1">
      <c r="A52" s="99" t="inlineStr">
        <is>
          <t>24</t>
        </is>
      </c>
      <c r="B52" s="100" t="inlineStr">
        <is>
          <t>Giá đỡ cho lạnh VRV/VRF</t>
        </is>
      </c>
      <c r="C52" s="101" t="n"/>
      <c r="D52" s="102" t="n"/>
      <c r="E52" s="103" t="inlineStr">
        <is>
          <t>Bộ</t>
        </is>
      </c>
      <c r="F52" s="104" t="n">
        <v>63</v>
      </c>
      <c r="G52" s="105" t="n"/>
      <c r="H52" s="105" t="n">
        <v>0</v>
      </c>
      <c r="I52" s="106" t="n"/>
      <c r="K52" s="107" t="inlineStr">
        <is>
          <t>Giá đỡ cho lạnh VRV/VRF</t>
        </is>
      </c>
      <c r="L52" s="108" t="inlineStr"/>
      <c r="M52" s="108" t="n"/>
      <c r="N52" s="108" t="n"/>
      <c r="O52" s="63" t="n"/>
      <c r="P52" s="63" t="n"/>
      <c r="Q52" s="64" t="n"/>
      <c r="R52" s="65" t="n"/>
      <c r="S52" s="66" t="n">
        <v>1200</v>
      </c>
      <c r="T52" s="63" t="n"/>
      <c r="U52" s="63" t="n"/>
      <c r="V52" s="97" t="n">
        <v>0</v>
      </c>
      <c r="W52" s="68" t="n">
        <v>0</v>
      </c>
      <c r="X52" s="68" t="n">
        <v>0</v>
      </c>
      <c r="Z52" t="n">
        <v>0</v>
      </c>
      <c r="AA52" t="n">
        <v>0</v>
      </c>
    </row>
    <row r="53" ht="24.95" customHeight="1">
      <c r="A53" s="99" t="inlineStr">
        <is>
          <t>25</t>
        </is>
      </c>
      <c r="B53" s="100" t="inlineStr">
        <is>
          <t>Giá đỡ cho dàn nóng VRV/VRF</t>
        </is>
      </c>
      <c r="C53" s="101" t="n"/>
      <c r="D53" s="102" t="n"/>
      <c r="E53" s="103" t="inlineStr">
        <is>
          <t>Bộ</t>
        </is>
      </c>
      <c r="F53" s="104" t="n">
        <v>15</v>
      </c>
      <c r="G53" s="105" t="n"/>
      <c r="H53" s="105" t="n">
        <v>0</v>
      </c>
      <c r="I53" s="106" t="n"/>
      <c r="K53" s="107" t="inlineStr">
        <is>
          <t>Giá đỡ cho dàn nóng VRV/VRF</t>
        </is>
      </c>
      <c r="L53" s="108" t="inlineStr"/>
      <c r="M53" s="108" t="n"/>
      <c r="N53" s="108" t="n"/>
      <c r="O53" s="63" t="n"/>
      <c r="P53" s="63" t="n"/>
      <c r="Q53" s="64" t="n"/>
      <c r="R53" s="65" t="n"/>
      <c r="S53" s="66" t="n">
        <v>1200</v>
      </c>
      <c r="T53" s="63" t="n"/>
      <c r="U53" s="63" t="n"/>
      <c r="V53" s="97" t="n">
        <v>0</v>
      </c>
      <c r="W53" s="68" t="n">
        <v>0</v>
      </c>
      <c r="X53" s="68" t="n">
        <v>0</v>
      </c>
      <c r="Z53" t="n">
        <v>0</v>
      </c>
      <c r="AA53" t="n">
        <v>0</v>
      </c>
    </row>
    <row r="54" ht="24.95" customHeight="1">
      <c r="A54" s="99" t="inlineStr">
        <is>
          <t>26</t>
        </is>
      </c>
      <c r="B54" s="100" t="inlineStr">
        <is>
          <t>Vật tư phụ</t>
        </is>
      </c>
      <c r="C54" s="101" t="n"/>
      <c r="D54" s="102" t="n"/>
      <c r="E54" s="103" t="inlineStr">
        <is>
          <t>lô</t>
        </is>
      </c>
      <c r="F54" s="104" t="n">
        <v>1</v>
      </c>
      <c r="G54" s="105" t="n"/>
      <c r="H54" s="105" t="n">
        <v>0</v>
      </c>
      <c r="I54" s="106" t="n"/>
      <c r="K54" s="107" t="inlineStr">
        <is>
          <t>Vật tư phụ</t>
        </is>
      </c>
      <c r="L54" s="108" t="inlineStr"/>
      <c r="M54" s="108" t="n"/>
      <c r="N54" s="108" t="n"/>
      <c r="O54" s="63" t="n"/>
      <c r="P54" s="63" t="n"/>
      <c r="Q54" s="64" t="n"/>
      <c r="R54" s="65" t="n"/>
      <c r="S54" s="66" t="n">
        <v>1200</v>
      </c>
      <c r="T54" s="63" t="n"/>
      <c r="U54" s="63" t="n"/>
      <c r="V54" s="97" t="n">
        <v>0</v>
      </c>
      <c r="W54" s="68" t="n">
        <v>0</v>
      </c>
      <c r="X54" s="68" t="n">
        <v>0</v>
      </c>
      <c r="Z54" t="n">
        <v>0</v>
      </c>
      <c r="AA54" t="n">
        <v>0</v>
      </c>
    </row>
    <row r="55" ht="24.95" customHeight="1">
      <c r="A55" s="151" t="inlineStr">
        <is>
          <t>III</t>
        </is>
      </c>
      <c r="B55" s="152" t="inlineStr">
        <is>
          <t>Quạt thông gió</t>
        </is>
      </c>
      <c r="C55" s="101" t="n"/>
      <c r="D55" s="102" t="n"/>
      <c r="E55" s="103" t="n"/>
      <c r="F55" s="104" t="n">
        <v>0</v>
      </c>
      <c r="G55" s="105" t="n"/>
      <c r="H55" s="105">
        <f>G55*F55</f>
        <v/>
      </c>
      <c r="I55" s="106" t="n"/>
      <c r="K55" s="107">
        <f>+B55</f>
        <v/>
      </c>
      <c r="L55" s="108" t="n"/>
      <c r="M55" s="108" t="n"/>
      <c r="N55" s="108" t="n"/>
      <c r="O55" s="63" t="n"/>
      <c r="P55" s="63" t="n"/>
      <c r="Q55" s="64" t="n"/>
      <c r="R55" s="65" t="n"/>
      <c r="S55" s="66" t="n"/>
      <c r="T55" s="63" t="n"/>
      <c r="U55" s="63" t="n"/>
      <c r="V55" s="97" t="n"/>
      <c r="W55" s="68" t="n"/>
      <c r="X55" s="68" t="n"/>
    </row>
    <row r="56" ht="39.95" customHeight="1">
      <c r="A56" s="99" t="inlineStr">
        <is>
          <t>1</t>
        </is>
      </c>
      <c r="B56" s="100" t="inlineStr">
        <is>
          <t>Quạt gắn tường 
Lưu lượng: 2600m3/h, Cột áp: 50Pa</t>
        </is>
      </c>
      <c r="C56" s="101" t="n"/>
      <c r="D56" s="102" t="n"/>
      <c r="E56" s="103" t="inlineStr">
        <is>
          <t>Bộ</t>
        </is>
      </c>
      <c r="F56" s="104" t="n">
        <v>1</v>
      </c>
      <c r="G56" s="105" t="n"/>
      <c r="H56" s="105" t="n">
        <v>0</v>
      </c>
      <c r="I56" s="106" t="n"/>
      <c r="K56" s="107" t="inlineStr">
        <is>
          <t>Quạt gắn tường 
Lưu lượng: 2600m3/h, Cột áp: 50Pa</t>
        </is>
      </c>
      <c r="L56" s="108" t="inlineStr"/>
      <c r="M56" s="108" t="n"/>
      <c r="N56" s="108" t="n"/>
      <c r="O56" s="63" t="n"/>
      <c r="P56" s="63" t="n"/>
      <c r="Q56" s="64" t="n"/>
      <c r="R56" s="65" t="n"/>
      <c r="S56" s="66" t="n">
        <v>1200</v>
      </c>
      <c r="T56" s="63" t="n"/>
      <c r="U56" s="63" t="n"/>
      <c r="V56" s="97" t="n">
        <v>0</v>
      </c>
      <c r="W56" s="68" t="n">
        <v>0</v>
      </c>
      <c r="X56" s="68" t="n">
        <v>0</v>
      </c>
      <c r="Z56" t="n">
        <v>0</v>
      </c>
      <c r="AA56" t="n">
        <v>0</v>
      </c>
    </row>
    <row r="57" ht="39.95" customHeight="1">
      <c r="A57" s="99" t="inlineStr">
        <is>
          <t>2</t>
        </is>
      </c>
      <c r="B57" s="100" t="inlineStr">
        <is>
          <t>Quạt gắn tường 
Lưu lượng: 450m3/h, Cột áp: 50Pa</t>
        </is>
      </c>
      <c r="C57" s="101" t="n"/>
      <c r="D57" s="102" t="n"/>
      <c r="E57" s="103" t="inlineStr">
        <is>
          <t>Bộ</t>
        </is>
      </c>
      <c r="F57" s="104" t="n">
        <v>2</v>
      </c>
      <c r="G57" s="105" t="n"/>
      <c r="H57" s="105" t="n">
        <v>0</v>
      </c>
      <c r="I57" s="106" t="n"/>
      <c r="K57" s="107" t="inlineStr">
        <is>
          <t>Quạt gắn tường 
Lưu lượng: 450m3/h, Cột áp: 50Pa</t>
        </is>
      </c>
      <c r="L57" s="108" t="inlineStr"/>
      <c r="M57" s="108" t="n"/>
      <c r="N57" s="108" t="n"/>
      <c r="O57" s="63" t="n"/>
      <c r="P57" s="63" t="n"/>
      <c r="Q57" s="64" t="n"/>
      <c r="R57" s="65" t="n"/>
      <c r="S57" s="66" t="n">
        <v>1200</v>
      </c>
      <c r="T57" s="63" t="n"/>
      <c r="U57" s="63" t="n"/>
      <c r="V57" s="97" t="n">
        <v>0</v>
      </c>
      <c r="W57" s="68" t="n">
        <v>0</v>
      </c>
      <c r="X57" s="68" t="n">
        <v>0</v>
      </c>
      <c r="Z57" t="n">
        <v>0</v>
      </c>
      <c r="AA57" t="n">
        <v>0</v>
      </c>
    </row>
    <row r="58" ht="39.95" customHeight="1">
      <c r="A58" s="99" t="inlineStr">
        <is>
          <t>3</t>
        </is>
      </c>
      <c r="B58" s="100" t="inlineStr">
        <is>
          <t>Quạt gắn tường 
Lưu lượng: 350m3/h, Cột áp: 50Pa</t>
        </is>
      </c>
      <c r="C58" s="101" t="n"/>
      <c r="D58" s="102" t="n"/>
      <c r="E58" s="103" t="inlineStr">
        <is>
          <t>Bộ</t>
        </is>
      </c>
      <c r="F58" s="104" t="n">
        <v>1</v>
      </c>
      <c r="G58" s="105" t="n"/>
      <c r="H58" s="105" t="n">
        <v>0</v>
      </c>
      <c r="I58" s="106" t="n"/>
      <c r="K58" s="107" t="inlineStr">
        <is>
          <t>Quạt gắn tường 
Lưu lượng: 350m3/h, Cột áp: 50Pa</t>
        </is>
      </c>
      <c r="L58" s="108" t="inlineStr"/>
      <c r="M58" s="108" t="n"/>
      <c r="N58" s="108" t="n"/>
      <c r="O58" s="63" t="n"/>
      <c r="P58" s="63" t="n"/>
      <c r="Q58" s="64" t="n"/>
      <c r="R58" s="65" t="n"/>
      <c r="S58" s="66" t="n">
        <v>1200</v>
      </c>
      <c r="T58" s="63" t="n"/>
      <c r="U58" s="63" t="n"/>
      <c r="V58" s="97" t="n">
        <v>0</v>
      </c>
      <c r="W58" s="68" t="n">
        <v>0</v>
      </c>
      <c r="X58" s="68" t="n">
        <v>0</v>
      </c>
      <c r="Z58" t="n">
        <v>0</v>
      </c>
      <c r="AA58" t="n">
        <v>0</v>
      </c>
    </row>
    <row r="59" ht="39.95" customHeight="1">
      <c r="A59" s="99" t="inlineStr">
        <is>
          <t>4</t>
        </is>
      </c>
      <c r="B59" s="100" t="inlineStr">
        <is>
          <t>Quạt gắn tường 
Lưu lượng: 300m3/h, Cột áp: 50Pa</t>
        </is>
      </c>
      <c r="C59" s="101" t="n"/>
      <c r="D59" s="102" t="n"/>
      <c r="E59" s="103" t="inlineStr">
        <is>
          <t>Bộ</t>
        </is>
      </c>
      <c r="F59" s="104" t="n">
        <v>1</v>
      </c>
      <c r="G59" s="105" t="n"/>
      <c r="H59" s="105" t="n">
        <v>0</v>
      </c>
      <c r="I59" s="106" t="n"/>
      <c r="K59" s="107" t="inlineStr">
        <is>
          <t>Quạt gắn tường 
Lưu lượng: 300m3/h, Cột áp: 50Pa</t>
        </is>
      </c>
      <c r="L59" s="108" t="inlineStr"/>
      <c r="M59" s="108" t="n"/>
      <c r="N59" s="108" t="n"/>
      <c r="O59" s="63" t="n"/>
      <c r="P59" s="63" t="n"/>
      <c r="Q59" s="64" t="n"/>
      <c r="R59" s="65" t="n"/>
      <c r="S59" s="66" t="n">
        <v>1200</v>
      </c>
      <c r="T59" s="63" t="n"/>
      <c r="U59" s="63" t="n"/>
      <c r="V59" s="97" t="n">
        <v>0</v>
      </c>
      <c r="W59" s="68" t="n">
        <v>0</v>
      </c>
      <c r="X59" s="68" t="n">
        <v>0</v>
      </c>
      <c r="Z59" t="n">
        <v>0</v>
      </c>
      <c r="AA59" t="n">
        <v>0</v>
      </c>
    </row>
    <row r="60" ht="39.95" customHeight="1">
      <c r="A60" s="99" t="inlineStr">
        <is>
          <t>5</t>
        </is>
      </c>
      <c r="B60" s="100" t="inlineStr">
        <is>
          <t>Quạt hướng trục hút vệ sinh
Lưu lượng: 1250m3/h, Cột áp: 150Pa</t>
        </is>
      </c>
      <c r="C60" s="101" t="n"/>
      <c r="D60" s="102" t="n"/>
      <c r="E60" s="103" t="inlineStr">
        <is>
          <t>Bộ</t>
        </is>
      </c>
      <c r="F60" s="104" t="n">
        <v>3</v>
      </c>
      <c r="G60" s="105" t="n"/>
      <c r="H60" s="105" t="n">
        <v>0</v>
      </c>
      <c r="I60" s="106" t="n"/>
      <c r="K60" s="107" t="inlineStr">
        <is>
          <t>Quạt hướng trục hút vệ sinh
Lưu lượng: 1250m3/h, Cột áp: 150Pa</t>
        </is>
      </c>
      <c r="L60" s="108" t="inlineStr"/>
      <c r="M60" s="108" t="n"/>
      <c r="N60" s="108" t="n"/>
      <c r="O60" s="63" t="n"/>
      <c r="P60" s="63" t="n"/>
      <c r="Q60" s="64" t="n"/>
      <c r="R60" s="65" t="n"/>
      <c r="S60" s="66" t="n">
        <v>1200</v>
      </c>
      <c r="T60" s="63" t="n"/>
      <c r="U60" s="63" t="n"/>
      <c r="V60" s="97" t="n">
        <v>0</v>
      </c>
      <c r="W60" s="68" t="n">
        <v>0</v>
      </c>
      <c r="X60" s="68" t="n">
        <v>0</v>
      </c>
      <c r="Z60" t="n">
        <v>0</v>
      </c>
      <c r="AA60" t="n">
        <v>0</v>
      </c>
    </row>
    <row r="61" ht="39.95" customHeight="1">
      <c r="A61" s="99" t="inlineStr">
        <is>
          <t>6</t>
        </is>
      </c>
      <c r="B61" s="100" t="inlineStr">
        <is>
          <t>Quạt hướng trục hút vệ sinh
Lưu lượng: 1150m3/h, Cột áp: 150Pa</t>
        </is>
      </c>
      <c r="C61" s="101" t="n"/>
      <c r="D61" s="102" t="n"/>
      <c r="E61" s="103" t="inlineStr">
        <is>
          <t>Bộ</t>
        </is>
      </c>
      <c r="F61" s="104" t="n">
        <v>1</v>
      </c>
      <c r="G61" s="105" t="n"/>
      <c r="H61" s="105" t="n">
        <v>0</v>
      </c>
      <c r="I61" s="106" t="n"/>
      <c r="K61" s="107" t="inlineStr">
        <is>
          <t>Quạt hướng trục hút vệ sinh
Lưu lượng: 1150m3/h, Cột áp: 150Pa</t>
        </is>
      </c>
      <c r="L61" s="108" t="inlineStr"/>
      <c r="M61" s="108" t="n"/>
      <c r="N61" s="108" t="n"/>
      <c r="O61" s="63" t="n"/>
      <c r="P61" s="63" t="n"/>
      <c r="Q61" s="64" t="n"/>
      <c r="R61" s="65" t="n"/>
      <c r="S61" s="66" t="n">
        <v>1200</v>
      </c>
      <c r="T61" s="63" t="n"/>
      <c r="U61" s="63" t="n"/>
      <c r="V61" s="97" t="n">
        <v>0</v>
      </c>
      <c r="W61" s="68" t="n">
        <v>0</v>
      </c>
      <c r="X61" s="68" t="n">
        <v>0</v>
      </c>
      <c r="Z61" t="n">
        <v>0</v>
      </c>
      <c r="AA61" t="n">
        <v>0</v>
      </c>
    </row>
    <row r="62" ht="39.95" customHeight="1">
      <c r="A62" s="99" t="inlineStr">
        <is>
          <t>7</t>
        </is>
      </c>
      <c r="B62" s="100" t="inlineStr">
        <is>
          <t>Quạt hướng trục cấp gió tươi
Lưu lượng: 850m3/h, Cột áp: 200Pa</t>
        </is>
      </c>
      <c r="C62" s="101" t="n"/>
      <c r="D62" s="102" t="n"/>
      <c r="E62" s="103" t="inlineStr">
        <is>
          <t>Bộ</t>
        </is>
      </c>
      <c r="F62" s="104" t="n">
        <v>8</v>
      </c>
      <c r="G62" s="105" t="n"/>
      <c r="H62" s="105" t="n">
        <v>0</v>
      </c>
      <c r="I62" s="106" t="n"/>
      <c r="K62" s="107" t="inlineStr">
        <is>
          <t>Quạt hướng trục cấp gió tươi
Lưu lượng: 850m3/h, Cột áp: 200Pa</t>
        </is>
      </c>
      <c r="L62" s="108" t="inlineStr">
        <is>
          <t>t</t>
        </is>
      </c>
      <c r="M62" s="108" t="n"/>
      <c r="N62" s="108" t="n"/>
      <c r="O62" s="63" t="n"/>
      <c r="P62" s="63" t="n"/>
      <c r="Q62" s="64" t="n"/>
      <c r="R62" s="65" t="n"/>
      <c r="S62" s="66" t="n">
        <v>1200</v>
      </c>
      <c r="T62" s="63" t="n"/>
      <c r="U62" s="63" t="n"/>
      <c r="V62" s="97" t="n">
        <v>0</v>
      </c>
      <c r="W62" s="68" t="n">
        <v>0</v>
      </c>
      <c r="X62" s="68" t="n">
        <v>1</v>
      </c>
      <c r="Z62" t="n">
        <v>0</v>
      </c>
      <c r="AA62" t="n">
        <v>0</v>
      </c>
    </row>
    <row r="63" ht="39.95" customHeight="1">
      <c r="A63" s="99" t="inlineStr">
        <is>
          <t>8</t>
        </is>
      </c>
      <c r="B63" s="100" t="inlineStr">
        <is>
          <t>Quạt hướng trục hút vệ sinh
Lưu lượng: 850m3/h, Cột áp: 150Pa</t>
        </is>
      </c>
      <c r="C63" s="101" t="n"/>
      <c r="D63" s="102" t="n"/>
      <c r="E63" s="103" t="inlineStr">
        <is>
          <t>Bộ</t>
        </is>
      </c>
      <c r="F63" s="104" t="n">
        <v>1</v>
      </c>
      <c r="G63" s="105" t="n"/>
      <c r="H63" s="105" t="n">
        <v>0</v>
      </c>
      <c r="I63" s="106" t="n"/>
      <c r="K63" s="107" t="inlineStr">
        <is>
          <t>Quạt hướng trục hút vệ sinh
Lưu lượng: 850m3/h, Cột áp: 150Pa</t>
        </is>
      </c>
      <c r="L63" s="108" t="inlineStr"/>
      <c r="M63" s="108" t="n"/>
      <c r="N63" s="108" t="n"/>
      <c r="O63" s="63" t="n"/>
      <c r="P63" s="63" t="n"/>
      <c r="Q63" s="64" t="n"/>
      <c r="R63" s="65" t="n"/>
      <c r="S63" s="66" t="n">
        <v>1200</v>
      </c>
      <c r="T63" s="63" t="n"/>
      <c r="U63" s="63" t="n"/>
      <c r="V63" s="97" t="n">
        <v>0</v>
      </c>
      <c r="W63" s="68" t="n">
        <v>0</v>
      </c>
      <c r="X63" s="68" t="n">
        <v>0</v>
      </c>
      <c r="Z63" t="n">
        <v>0</v>
      </c>
      <c r="AA63" t="n">
        <v>0</v>
      </c>
    </row>
    <row r="64" ht="39.95" customHeight="1">
      <c r="A64" s="99" t="inlineStr">
        <is>
          <t>9</t>
        </is>
      </c>
      <c r="B64" s="100" t="inlineStr">
        <is>
          <t>Quạt hướng trục hút vệ sinh
Lưu lượng: 500m3/h, Cột áp: 150Pa</t>
        </is>
      </c>
      <c r="C64" s="101" t="n"/>
      <c r="D64" s="102" t="n"/>
      <c r="E64" s="103" t="inlineStr">
        <is>
          <t>Bộ</t>
        </is>
      </c>
      <c r="F64" s="104" t="n">
        <v>8</v>
      </c>
      <c r="G64" s="105" t="n"/>
      <c r="H64" s="105" t="n">
        <v>0</v>
      </c>
      <c r="I64" s="106" t="n"/>
      <c r="K64" s="107" t="inlineStr">
        <is>
          <t>Quạt hướng trục hút vệ sinh
Lưu lượng: 500m3/h, Cột áp: 150Pa</t>
        </is>
      </c>
      <c r="L64" s="108" t="inlineStr"/>
      <c r="M64" s="108" t="n"/>
      <c r="N64" s="108" t="n"/>
      <c r="O64" s="63" t="n"/>
      <c r="P64" s="63" t="n"/>
      <c r="Q64" s="64" t="n"/>
      <c r="R64" s="65" t="n"/>
      <c r="S64" s="66" t="n">
        <v>1200</v>
      </c>
      <c r="T64" s="63" t="n"/>
      <c r="U64" s="63" t="n"/>
      <c r="V64" s="97" t="n">
        <v>0</v>
      </c>
      <c r="W64" s="68" t="n">
        <v>0</v>
      </c>
      <c r="X64" s="68" t="n">
        <v>0</v>
      </c>
      <c r="Z64" t="n">
        <v>0</v>
      </c>
      <c r="AA64" t="n">
        <v>0</v>
      </c>
    </row>
    <row r="65" ht="39.95" customHeight="1">
      <c r="A65" s="99" t="inlineStr">
        <is>
          <t>10</t>
        </is>
      </c>
      <c r="B65" s="100" t="inlineStr">
        <is>
          <t>Quạt hướng trục hút vệ sinh
Lưu lượng: 300m3/h, Cột áp: 100Pa</t>
        </is>
      </c>
      <c r="C65" s="101" t="n"/>
      <c r="D65" s="102" t="n"/>
      <c r="E65" s="103" t="inlineStr">
        <is>
          <t>Bộ</t>
        </is>
      </c>
      <c r="F65" s="104" t="n">
        <v>1</v>
      </c>
      <c r="G65" s="105" t="n"/>
      <c r="H65" s="105" t="n">
        <v>0</v>
      </c>
      <c r="I65" s="106" t="n"/>
      <c r="K65" s="107" t="inlineStr">
        <is>
          <t>Quạt hướng trục hút vệ sinh
Lưu lượng: 300m3/h, Cột áp: 100Pa</t>
        </is>
      </c>
      <c r="L65" s="108" t="inlineStr"/>
      <c r="M65" s="108" t="n"/>
      <c r="N65" s="108" t="n"/>
      <c r="O65" s="63" t="n"/>
      <c r="P65" s="63" t="n"/>
      <c r="Q65" s="64" t="n"/>
      <c r="R65" s="65" t="n"/>
      <c r="S65" s="66" t="n">
        <v>1200</v>
      </c>
      <c r="T65" s="63" t="n"/>
      <c r="U65" s="63" t="n"/>
      <c r="V65" s="97" t="n">
        <v>0</v>
      </c>
      <c r="W65" s="68" t="n">
        <v>0</v>
      </c>
      <c r="X65" s="68" t="n">
        <v>0</v>
      </c>
      <c r="Z65" t="n">
        <v>0</v>
      </c>
      <c r="AA65" t="n">
        <v>0</v>
      </c>
    </row>
    <row r="66" ht="39.95" customHeight="1">
      <c r="A66" s="99" t="inlineStr">
        <is>
          <t>11</t>
        </is>
      </c>
      <c r="B66" s="100" t="inlineStr">
        <is>
          <t>Quạt ly tâm hút phòng rác
Lưu lượng: 5600m3/h, Cột áp: 500Pa</t>
        </is>
      </c>
      <c r="C66" s="101" t="n"/>
      <c r="D66" s="102" t="n"/>
      <c r="E66" s="103" t="inlineStr">
        <is>
          <t>Bộ</t>
        </is>
      </c>
      <c r="F66" s="104" t="n">
        <v>1</v>
      </c>
      <c r="G66" s="105" t="n"/>
      <c r="H66" s="105" t="n">
        <v>0</v>
      </c>
      <c r="I66" s="106" t="n"/>
      <c r="K66" s="107" t="inlineStr">
        <is>
          <t>Quạt ly tâm hút phòng rác
Lưu lượng: 5600m3/h, Cột áp: 500Pa</t>
        </is>
      </c>
      <c r="L66" s="108" t="inlineStr"/>
      <c r="M66" s="108" t="n"/>
      <c r="N66" s="108" t="n"/>
      <c r="O66" s="63" t="n"/>
      <c r="P66" s="63" t="n"/>
      <c r="Q66" s="64" t="n"/>
      <c r="R66" s="65" t="n"/>
      <c r="S66" s="66" t="n">
        <v>1200</v>
      </c>
      <c r="T66" s="63" t="n"/>
      <c r="U66" s="63" t="n"/>
      <c r="V66" s="97" t="n">
        <v>0</v>
      </c>
      <c r="W66" s="68" t="n">
        <v>0</v>
      </c>
      <c r="X66" s="68" t="n">
        <v>0</v>
      </c>
      <c r="Z66" t="n">
        <v>0</v>
      </c>
      <c r="AA66" t="n">
        <v>0</v>
      </c>
    </row>
    <row r="67" ht="39.95" customHeight="1">
      <c r="A67" s="99" t="inlineStr">
        <is>
          <t>12</t>
        </is>
      </c>
      <c r="B67" s="100" t="inlineStr">
        <is>
          <t>Quạt ly tâm hút bếp
Lưu lượng: 6000m3/h, Cột áp: 450Pa</t>
        </is>
      </c>
      <c r="C67" s="101" t="n"/>
      <c r="D67" s="102" t="n"/>
      <c r="E67" s="103" t="inlineStr">
        <is>
          <t>Bộ</t>
        </is>
      </c>
      <c r="F67" s="104" t="n">
        <v>1</v>
      </c>
      <c r="G67" s="105" t="n"/>
      <c r="H67" s="105" t="n">
        <v>0</v>
      </c>
      <c r="I67" s="106" t="n"/>
      <c r="K67" s="107" t="inlineStr">
        <is>
          <t>Quạt ly tâm hút bếp
Lưu lượng: 6000m3/h, Cột áp: 450Pa</t>
        </is>
      </c>
      <c r="L67" s="108" t="inlineStr"/>
      <c r="M67" s="108" t="n"/>
      <c r="N67" s="108" t="n"/>
      <c r="O67" s="63" t="n"/>
      <c r="P67" s="63" t="n"/>
      <c r="Q67" s="64" t="n"/>
      <c r="R67" s="65" t="n"/>
      <c r="S67" s="66" t="n">
        <v>1200</v>
      </c>
      <c r="T67" s="63" t="n"/>
      <c r="U67" s="63" t="n"/>
      <c r="V67" s="97" t="n">
        <v>0</v>
      </c>
      <c r="W67" s="68" t="n">
        <v>0</v>
      </c>
      <c r="X67" s="68" t="n">
        <v>0</v>
      </c>
      <c r="Z67" t="n">
        <v>0</v>
      </c>
      <c r="AA67" t="n">
        <v>0</v>
      </c>
    </row>
    <row r="68" ht="24.95" customHeight="1">
      <c r="A68" s="99" t="inlineStr">
        <is>
          <t>13</t>
        </is>
      </c>
      <c r="B68" s="100" t="inlineStr">
        <is>
          <t>Bạt nối mềm đầu quạt</t>
        </is>
      </c>
      <c r="C68" s="101" t="n"/>
      <c r="D68" s="102" t="n"/>
      <c r="E68" s="103" t="inlineStr">
        <is>
          <t>Bộ</t>
        </is>
      </c>
      <c r="F68" s="104" t="n">
        <v>10</v>
      </c>
      <c r="G68" s="105" t="n"/>
      <c r="H68" s="105" t="n">
        <v>0</v>
      </c>
      <c r="I68" s="106" t="n"/>
      <c r="K68" s="107" t="inlineStr">
        <is>
          <t>Bạt nối mềm đầu quạt</t>
        </is>
      </c>
      <c r="L68" s="108" t="inlineStr">
        <is>
          <t>cb</t>
        </is>
      </c>
      <c r="M68" s="108" t="n"/>
      <c r="N68" s="108" t="n"/>
      <c r="O68" s="63" t="n"/>
      <c r="P68" s="63" t="n"/>
      <c r="Q68" s="64" t="n"/>
      <c r="R68" s="65" t="n"/>
      <c r="S68" s="66" t="n">
        <v>1200</v>
      </c>
      <c r="T68" s="63" t="n"/>
      <c r="U68" s="63" t="n"/>
      <c r="V68" s="97" t="n">
        <v>0</v>
      </c>
      <c r="W68" s="68" t="n">
        <v>0</v>
      </c>
      <c r="X68" s="68" t="n">
        <v>1</v>
      </c>
      <c r="Z68" t="n">
        <v>0</v>
      </c>
      <c r="AA68" t="n">
        <v>0</v>
      </c>
    </row>
    <row r="69" ht="24.95" customHeight="1">
      <c r="A69" s="99" t="inlineStr">
        <is>
          <t>14</t>
        </is>
      </c>
      <c r="B69" s="100" t="inlineStr">
        <is>
          <t>Giá đỡ quạt</t>
        </is>
      </c>
      <c r="C69" s="101" t="n"/>
      <c r="D69" s="102" t="n"/>
      <c r="E69" s="103" t="inlineStr">
        <is>
          <t>Bộ</t>
        </is>
      </c>
      <c r="F69" s="104" t="n">
        <v>5</v>
      </c>
      <c r="G69" s="105" t="n"/>
      <c r="H69" s="105" t="n">
        <v>0</v>
      </c>
      <c r="I69" s="106" t="n"/>
      <c r="K69" s="107" t="inlineStr">
        <is>
          <t>Giá đỡ quạt</t>
        </is>
      </c>
      <c r="L69" s="108" t="inlineStr"/>
      <c r="M69" s="108" t="n"/>
      <c r="N69" s="108" t="n"/>
      <c r="O69" s="63" t="n"/>
      <c r="P69" s="63" t="n"/>
      <c r="Q69" s="64" t="n"/>
      <c r="R69" s="65" t="n"/>
      <c r="S69" s="66" t="n">
        <v>1200</v>
      </c>
      <c r="T69" s="63" t="n"/>
      <c r="U69" s="63" t="n"/>
      <c r="V69" s="97" t="n">
        <v>0</v>
      </c>
      <c r="W69" s="68" t="n">
        <v>0</v>
      </c>
      <c r="X69" s="68" t="n">
        <v>0</v>
      </c>
      <c r="Z69" t="n">
        <v>0</v>
      </c>
      <c r="AA69" t="n">
        <v>0</v>
      </c>
    </row>
    <row r="70" ht="24.95" customHeight="1">
      <c r="A70" s="99" t="inlineStr">
        <is>
          <t>15</t>
        </is>
      </c>
      <c r="B70" s="100" t="inlineStr">
        <is>
          <t>Vật tư phụ</t>
        </is>
      </c>
      <c r="C70" s="101" t="n"/>
      <c r="D70" s="102" t="n"/>
      <c r="E70" s="103" t="inlineStr">
        <is>
          <t>lô</t>
        </is>
      </c>
      <c r="F70" s="104" t="n">
        <v>1</v>
      </c>
      <c r="G70" s="105" t="n"/>
      <c r="H70" s="105" t="n">
        <v>0</v>
      </c>
      <c r="I70" s="106" t="n"/>
      <c r="K70" s="107" t="inlineStr">
        <is>
          <t>Vật tư phụ</t>
        </is>
      </c>
      <c r="L70" s="108" t="inlineStr"/>
      <c r="M70" s="108" t="n"/>
      <c r="N70" s="108" t="n"/>
      <c r="O70" s="63" t="n"/>
      <c r="P70" s="63" t="n"/>
      <c r="Q70" s="64" t="n"/>
      <c r="R70" s="65" t="n"/>
      <c r="S70" s="66" t="n">
        <v>1200</v>
      </c>
      <c r="T70" s="63" t="n"/>
      <c r="U70" s="63" t="n"/>
      <c r="V70" s="97" t="n">
        <v>0</v>
      </c>
      <c r="W70" s="68" t="n">
        <v>0</v>
      </c>
      <c r="X70" s="68" t="n">
        <v>0</v>
      </c>
      <c r="Z70" t="n">
        <v>0</v>
      </c>
      <c r="AA70" t="n">
        <v>0</v>
      </c>
    </row>
    <row r="71" ht="24.95" customHeight="1">
      <c r="A71" s="151" t="inlineStr">
        <is>
          <t>IV</t>
        </is>
      </c>
      <c r="B71" s="152" t="inlineStr">
        <is>
          <t>Ống đồng kèm bảo ôn</t>
        </is>
      </c>
      <c r="C71" s="101" t="n"/>
      <c r="D71" s="102" t="n"/>
      <c r="E71" s="103" t="n"/>
      <c r="F71" s="104" t="n">
        <v>0</v>
      </c>
      <c r="G71" s="105" t="n"/>
      <c r="H71" s="105">
        <f>G71*F71</f>
        <v/>
      </c>
      <c r="I71" s="106" t="n"/>
      <c r="K71" s="107">
        <f>+B71</f>
        <v/>
      </c>
      <c r="L71" s="108" t="n"/>
      <c r="M71" s="108" t="n"/>
      <c r="N71" s="108" t="n"/>
      <c r="O71" s="63" t="n"/>
      <c r="P71" s="63" t="n"/>
      <c r="Q71" s="64" t="n"/>
      <c r="R71" s="65" t="n"/>
      <c r="S71" s="66" t="n"/>
      <c r="T71" s="63" t="n"/>
      <c r="U71" s="63" t="n"/>
      <c r="V71" s="97" t="n"/>
      <c r="W71" s="68" t="n"/>
      <c r="X71" s="68" t="n"/>
    </row>
    <row r="72" ht="24.95" customHeight="1">
      <c r="A72" s="99" t="inlineStr">
        <is>
          <t>1</t>
        </is>
      </c>
      <c r="B72" s="100" t="inlineStr">
        <is>
          <t>Ống đồng Ø6.4/Ø12.7</t>
        </is>
      </c>
      <c r="C72" s="101" t="n"/>
      <c r="D72" s="102" t="n"/>
      <c r="E72" s="103" t="inlineStr">
        <is>
          <t>m</t>
        </is>
      </c>
      <c r="F72" s="104" t="n">
        <v>484.4</v>
      </c>
      <c r="G72" s="105" t="n"/>
      <c r="H72" s="105" t="n">
        <v>0</v>
      </c>
      <c r="I72" s="106" t="n"/>
      <c r="K72" s="107" t="inlineStr">
        <is>
          <t>Ống đồng Ø6.4/Ø12.7</t>
        </is>
      </c>
      <c r="L72" s="108" t="inlineStr">
        <is>
          <t>t</t>
        </is>
      </c>
      <c r="M72" s="108" t="n">
        <v>6.4</v>
      </c>
      <c r="N72" s="108" t="n">
        <v>6.4</v>
      </c>
      <c r="O72" s="63" t="n"/>
      <c r="P72" s="63" t="n"/>
      <c r="Q72" s="64" t="n"/>
      <c r="R72" s="65" t="n"/>
      <c r="S72" s="66" t="n">
        <v>1200</v>
      </c>
      <c r="T72" s="63" t="n">
        <v>6.4</v>
      </c>
      <c r="U72" s="63" t="n"/>
      <c r="V72" s="97" t="n">
        <v>0</v>
      </c>
      <c r="W72" s="68" t="n">
        <v>0</v>
      </c>
      <c r="X72" s="68" t="n">
        <v>1</v>
      </c>
      <c r="Z72" t="n">
        <v>0</v>
      </c>
      <c r="AA72" t="n">
        <v>0</v>
      </c>
    </row>
    <row r="73" ht="24.95" customHeight="1">
      <c r="A73" s="99" t="inlineStr">
        <is>
          <t>2</t>
        </is>
      </c>
      <c r="B73" s="100" t="inlineStr">
        <is>
          <t>Ống đồng Ø9.5/Ø15.9</t>
        </is>
      </c>
      <c r="C73" s="101" t="n"/>
      <c r="D73" s="102" t="n"/>
      <c r="E73" s="103" t="inlineStr">
        <is>
          <t>m</t>
        </is>
      </c>
      <c r="F73" s="104" t="n">
        <v>1254.45</v>
      </c>
      <c r="G73" s="105" t="n"/>
      <c r="H73" s="105" t="n">
        <v>0</v>
      </c>
      <c r="I73" s="106" t="n"/>
      <c r="K73" s="107" t="inlineStr">
        <is>
          <t>Ống đồng Ø9.5/Ø15.9</t>
        </is>
      </c>
      <c r="L73" s="108" t="inlineStr">
        <is>
          <t>t</t>
        </is>
      </c>
      <c r="M73" s="108" t="n">
        <v>9.5</v>
      </c>
      <c r="N73" s="108" t="n">
        <v>9.5</v>
      </c>
      <c r="O73" s="63" t="n"/>
      <c r="P73" s="63" t="n"/>
      <c r="Q73" s="64" t="n"/>
      <c r="R73" s="65" t="n"/>
      <c r="S73" s="66" t="n">
        <v>1200</v>
      </c>
      <c r="T73" s="63" t="n">
        <v>9.5</v>
      </c>
      <c r="U73" s="63" t="n"/>
      <c r="V73" s="97" t="n">
        <v>0</v>
      </c>
      <c r="W73" s="68" t="n">
        <v>0</v>
      </c>
      <c r="X73" s="68" t="n">
        <v>1</v>
      </c>
      <c r="Z73" t="n">
        <v>0</v>
      </c>
      <c r="AA73" t="n">
        <v>0</v>
      </c>
    </row>
    <row r="74" ht="24.95" customHeight="1">
      <c r="A74" s="99" t="inlineStr">
        <is>
          <t>3</t>
        </is>
      </c>
      <c r="B74" s="100" t="inlineStr">
        <is>
          <t>Ống đồng Ø9.5/Ø19.1</t>
        </is>
      </c>
      <c r="C74" s="101" t="n"/>
      <c r="D74" s="102" t="n"/>
      <c r="E74" s="103" t="inlineStr">
        <is>
          <t>m</t>
        </is>
      </c>
      <c r="F74" s="104" t="n">
        <v>102.05</v>
      </c>
      <c r="G74" s="105" t="n"/>
      <c r="H74" s="105" t="n">
        <v>0</v>
      </c>
      <c r="I74" s="106" t="n"/>
      <c r="K74" s="107" t="inlineStr">
        <is>
          <t>Ống đồng Ø9.5/Ø19.1</t>
        </is>
      </c>
      <c r="L74" s="108" t="inlineStr">
        <is>
          <t>t</t>
        </is>
      </c>
      <c r="M74" s="108" t="n">
        <v>9.5</v>
      </c>
      <c r="N74" s="108" t="n">
        <v>9.5</v>
      </c>
      <c r="O74" s="63" t="n"/>
      <c r="P74" s="63" t="n"/>
      <c r="Q74" s="64" t="n"/>
      <c r="R74" s="65" t="n"/>
      <c r="S74" s="66" t="n">
        <v>1200</v>
      </c>
      <c r="T74" s="63" t="n">
        <v>9.5</v>
      </c>
      <c r="U74" s="63" t="n"/>
      <c r="V74" s="97" t="n">
        <v>0</v>
      </c>
      <c r="W74" s="68" t="n">
        <v>0</v>
      </c>
      <c r="X74" s="68" t="n">
        <v>1</v>
      </c>
      <c r="Z74" t="n">
        <v>0</v>
      </c>
      <c r="AA74" t="n">
        <v>0</v>
      </c>
    </row>
    <row r="75" ht="24.95" customHeight="1">
      <c r="A75" s="99" t="inlineStr">
        <is>
          <t>4</t>
        </is>
      </c>
      <c r="B75" s="100" t="inlineStr">
        <is>
          <t>Ống đồng Ø9.5/Ø22.2</t>
        </is>
      </c>
      <c r="C75" s="101" t="n"/>
      <c r="D75" s="102" t="n"/>
      <c r="E75" s="103" t="inlineStr">
        <is>
          <t>m</t>
        </is>
      </c>
      <c r="F75" s="104" t="n">
        <v>96.25000000000001</v>
      </c>
      <c r="G75" s="105" t="n"/>
      <c r="H75" s="105" t="n">
        <v>0</v>
      </c>
      <c r="I75" s="106" t="n"/>
      <c r="K75" s="107" t="inlineStr">
        <is>
          <t>Ống đồng Ø9.5/Ø22.2</t>
        </is>
      </c>
      <c r="L75" s="108" t="inlineStr">
        <is>
          <t>t</t>
        </is>
      </c>
      <c r="M75" s="108" t="n">
        <v>9.5</v>
      </c>
      <c r="N75" s="108" t="n">
        <v>9.5</v>
      </c>
      <c r="O75" s="63" t="n"/>
      <c r="P75" s="63" t="n"/>
      <c r="Q75" s="64" t="n"/>
      <c r="R75" s="65" t="n"/>
      <c r="S75" s="66" t="n">
        <v>1200</v>
      </c>
      <c r="T75" s="63" t="n">
        <v>9.5</v>
      </c>
      <c r="U75" s="63" t="n"/>
      <c r="V75" s="97" t="n">
        <v>0</v>
      </c>
      <c r="W75" s="68" t="n">
        <v>0</v>
      </c>
      <c r="X75" s="68" t="n">
        <v>1</v>
      </c>
      <c r="Z75" t="n">
        <v>0</v>
      </c>
      <c r="AA75" t="n">
        <v>0</v>
      </c>
    </row>
    <row r="76" ht="24.95" customHeight="1">
      <c r="A76" s="99" t="inlineStr">
        <is>
          <t>5</t>
        </is>
      </c>
      <c r="B76" s="100" t="inlineStr">
        <is>
          <t>Ống đồng Ø12.7/Ø28.6</t>
        </is>
      </c>
      <c r="C76" s="101" t="n"/>
      <c r="D76" s="102" t="n"/>
      <c r="E76" s="103" t="inlineStr">
        <is>
          <t>m</t>
        </is>
      </c>
      <c r="F76" s="104" t="n">
        <v>856.4499999999999</v>
      </c>
      <c r="G76" s="105" t="n"/>
      <c r="H76" s="105" t="n">
        <v>0</v>
      </c>
      <c r="I76" s="106" t="n"/>
      <c r="K76" s="107" t="inlineStr">
        <is>
          <t>Ống đồng Ø12.7/Ø28.6</t>
        </is>
      </c>
      <c r="L76" s="108" t="inlineStr">
        <is>
          <t>t</t>
        </is>
      </c>
      <c r="M76" s="108" t="n">
        <v>12.7</v>
      </c>
      <c r="N76" s="108" t="n">
        <v>12.7</v>
      </c>
      <c r="O76" s="63" t="n"/>
      <c r="P76" s="63" t="n"/>
      <c r="Q76" s="64" t="n"/>
      <c r="R76" s="65" t="n"/>
      <c r="S76" s="66" t="n">
        <v>1200</v>
      </c>
      <c r="T76" s="63" t="n">
        <v>12.7</v>
      </c>
      <c r="U76" s="63" t="n"/>
      <c r="V76" s="97" t="n">
        <v>0</v>
      </c>
      <c r="W76" s="68" t="n">
        <v>0</v>
      </c>
      <c r="X76" s="68" t="n">
        <v>1</v>
      </c>
      <c r="Z76" t="n">
        <v>0</v>
      </c>
      <c r="AA76" t="n">
        <v>0</v>
      </c>
    </row>
    <row r="77" ht="24.95" customHeight="1">
      <c r="A77" s="99" t="inlineStr">
        <is>
          <t>6</t>
        </is>
      </c>
      <c r="B77" s="100" t="inlineStr">
        <is>
          <t>Ống đồng Ø15.9/Ø28.6</t>
        </is>
      </c>
      <c r="C77" s="101" t="n"/>
      <c r="D77" s="102" t="n"/>
      <c r="E77" s="103" t="inlineStr">
        <is>
          <t>m</t>
        </is>
      </c>
      <c r="F77" s="104" t="n">
        <v>77.34999999999999</v>
      </c>
      <c r="G77" s="105" t="n"/>
      <c r="H77" s="105" t="n">
        <v>0</v>
      </c>
      <c r="I77" s="106" t="n"/>
      <c r="K77" s="107" t="inlineStr">
        <is>
          <t>Ống đồng Ø15.9/Ø28.6</t>
        </is>
      </c>
      <c r="L77" s="108" t="inlineStr">
        <is>
          <t>t</t>
        </is>
      </c>
      <c r="M77" s="108" t="n">
        <v>15.9</v>
      </c>
      <c r="N77" s="108" t="n">
        <v>15.9</v>
      </c>
      <c r="O77" s="63" t="n"/>
      <c r="P77" s="63" t="n"/>
      <c r="Q77" s="64" t="n"/>
      <c r="R77" s="65" t="n"/>
      <c r="S77" s="66" t="n">
        <v>1200</v>
      </c>
      <c r="T77" s="63" t="n">
        <v>15.9</v>
      </c>
      <c r="U77" s="63" t="n"/>
      <c r="V77" s="97" t="n">
        <v>0</v>
      </c>
      <c r="W77" s="68" t="n">
        <v>0</v>
      </c>
      <c r="X77" s="68" t="n">
        <v>1</v>
      </c>
      <c r="Z77" t="n">
        <v>0</v>
      </c>
      <c r="AA77" t="n">
        <v>0</v>
      </c>
    </row>
    <row r="78" ht="24.95" customHeight="1">
      <c r="A78" s="99" t="inlineStr">
        <is>
          <t>7</t>
        </is>
      </c>
      <c r="B78" s="100" t="inlineStr">
        <is>
          <t>Ống đồng Ø19.1/Ø34.9</t>
        </is>
      </c>
      <c r="C78" s="101" t="n"/>
      <c r="D78" s="102" t="n"/>
      <c r="E78" s="103" t="inlineStr">
        <is>
          <t>m</t>
        </is>
      </c>
      <c r="F78" s="104" t="n">
        <v>19.55</v>
      </c>
      <c r="G78" s="105" t="n"/>
      <c r="H78" s="105" t="n">
        <v>0</v>
      </c>
      <c r="I78" s="106" t="n"/>
      <c r="K78" s="107" t="inlineStr">
        <is>
          <t>Ống đồng Ø19.1/Ø34.9</t>
        </is>
      </c>
      <c r="L78" s="108" t="inlineStr">
        <is>
          <t>t</t>
        </is>
      </c>
      <c r="M78" s="108" t="n">
        <v>19.1</v>
      </c>
      <c r="N78" s="108" t="n">
        <v>19.1</v>
      </c>
      <c r="O78" s="63" t="n"/>
      <c r="P78" s="63" t="n"/>
      <c r="Q78" s="64" t="n"/>
      <c r="R78" s="65" t="n"/>
      <c r="S78" s="66" t="n">
        <v>1200</v>
      </c>
      <c r="T78" s="63" t="n">
        <v>19.1</v>
      </c>
      <c r="U78" s="63" t="n"/>
      <c r="V78" s="97" t="n">
        <v>0</v>
      </c>
      <c r="W78" s="68" t="n">
        <v>0</v>
      </c>
      <c r="X78" s="68" t="n">
        <v>1</v>
      </c>
      <c r="Z78" t="n">
        <v>0</v>
      </c>
      <c r="AA78" t="n">
        <v>0</v>
      </c>
    </row>
    <row r="79" ht="24.95" customHeight="1">
      <c r="A79" s="99" t="inlineStr">
        <is>
          <t>8</t>
        </is>
      </c>
      <c r="B79" s="100" t="inlineStr">
        <is>
          <t>Ống đồng Ø19.1/Ø41.3</t>
        </is>
      </c>
      <c r="C79" s="101" t="n"/>
      <c r="D79" s="102" t="n"/>
      <c r="E79" s="103" t="inlineStr">
        <is>
          <t>m</t>
        </is>
      </c>
      <c r="F79" s="104" t="n">
        <v>402.15</v>
      </c>
      <c r="G79" s="105" t="n"/>
      <c r="H79" s="105" t="n">
        <v>0</v>
      </c>
      <c r="I79" s="106" t="n"/>
      <c r="K79" s="107" t="inlineStr">
        <is>
          <t>Ống đồng Ø19.1/Ø41.3</t>
        </is>
      </c>
      <c r="L79" s="108" t="inlineStr">
        <is>
          <t>t</t>
        </is>
      </c>
      <c r="M79" s="108" t="n">
        <v>19.1</v>
      </c>
      <c r="N79" s="108" t="n">
        <v>19.1</v>
      </c>
      <c r="O79" s="63" t="n"/>
      <c r="P79" s="63" t="n"/>
      <c r="Q79" s="64" t="n"/>
      <c r="R79" s="65" t="n"/>
      <c r="S79" s="66" t="n">
        <v>1200</v>
      </c>
      <c r="T79" s="63" t="n">
        <v>19.1</v>
      </c>
      <c r="U79" s="63" t="n"/>
      <c r="V79" s="97" t="n">
        <v>0</v>
      </c>
      <c r="W79" s="68" t="n">
        <v>0</v>
      </c>
      <c r="X79" s="68" t="n">
        <v>1</v>
      </c>
      <c r="Z79" t="n">
        <v>0</v>
      </c>
      <c r="AA79" t="n">
        <v>0</v>
      </c>
    </row>
    <row r="80" ht="24.95" customHeight="1">
      <c r="A80" s="99" t="inlineStr">
        <is>
          <t>9</t>
        </is>
      </c>
      <c r="B80" s="100" t="inlineStr">
        <is>
          <t>Bảo ôn ống đồng Ø6.4 dày 13mm</t>
        </is>
      </c>
      <c r="C80" s="101" t="n"/>
      <c r="D80" s="102" t="n"/>
      <c r="E80" s="103" t="inlineStr">
        <is>
          <t>m</t>
        </is>
      </c>
      <c r="F80" s="104" t="n">
        <v>485.45</v>
      </c>
      <c r="G80" s="105" t="n"/>
      <c r="H80" s="105" t="n">
        <v>0</v>
      </c>
      <c r="I80" s="106" t="n"/>
      <c r="K80" s="107" t="inlineStr">
        <is>
          <t>Bảo ôn ống đồng Ø6.4 dày 13mm</t>
        </is>
      </c>
      <c r="L80" s="108" t="inlineStr">
        <is>
          <t>t</t>
        </is>
      </c>
      <c r="M80" s="108" t="n">
        <v>6.4</v>
      </c>
      <c r="N80" s="108" t="n">
        <v>6.4</v>
      </c>
      <c r="O80" s="63" t="n"/>
      <c r="P80" s="63" t="n"/>
      <c r="Q80" s="64" t="n"/>
      <c r="R80" s="65" t="n"/>
      <c r="S80" s="66" t="n">
        <v>1200</v>
      </c>
      <c r="T80" s="63" t="n">
        <v>6.4</v>
      </c>
      <c r="U80" s="63" t="n"/>
      <c r="V80" s="97" t="n">
        <v>0</v>
      </c>
      <c r="W80" s="68" t="n">
        <v>0</v>
      </c>
      <c r="X80" s="68" t="n">
        <v>1</v>
      </c>
      <c r="Z80" t="n">
        <v>0</v>
      </c>
      <c r="AA80" t="n">
        <v>0</v>
      </c>
    </row>
    <row r="81" ht="24.95" customHeight="1">
      <c r="A81" s="99" t="inlineStr">
        <is>
          <t>10</t>
        </is>
      </c>
      <c r="B81" s="100" t="inlineStr">
        <is>
          <t>Bảo ôn ống đồng Ø9.5 dày 13mm</t>
        </is>
      </c>
      <c r="C81" s="101" t="n"/>
      <c r="D81" s="102" t="n"/>
      <c r="E81" s="103" t="inlineStr">
        <is>
          <t>m</t>
        </is>
      </c>
      <c r="F81" s="104" t="n">
        <v>1450.65</v>
      </c>
      <c r="G81" s="105" t="n"/>
      <c r="H81" s="105" t="n">
        <v>0</v>
      </c>
      <c r="I81" s="106" t="n"/>
      <c r="K81" s="107" t="inlineStr">
        <is>
          <t>Bảo ôn ống đồng Ø9.5 dày 13mm</t>
        </is>
      </c>
      <c r="L81" s="108" t="inlineStr">
        <is>
          <t>t</t>
        </is>
      </c>
      <c r="M81" s="108" t="n">
        <v>9.5</v>
      </c>
      <c r="N81" s="108" t="n">
        <v>9.5</v>
      </c>
      <c r="O81" s="63" t="n"/>
      <c r="P81" s="63" t="n"/>
      <c r="Q81" s="64" t="n"/>
      <c r="R81" s="65" t="n"/>
      <c r="S81" s="66" t="n">
        <v>1200</v>
      </c>
      <c r="T81" s="63" t="n">
        <v>9.5</v>
      </c>
      <c r="U81" s="63" t="n"/>
      <c r="V81" s="97" t="n">
        <v>0</v>
      </c>
      <c r="W81" s="68" t="n">
        <v>0</v>
      </c>
      <c r="X81" s="68" t="n">
        <v>1</v>
      </c>
      <c r="Z81" t="n">
        <v>0</v>
      </c>
      <c r="AA81" t="n">
        <v>0</v>
      </c>
    </row>
    <row r="82" ht="24.95" customHeight="1">
      <c r="A82" s="99" t="inlineStr">
        <is>
          <t>11</t>
        </is>
      </c>
      <c r="B82" s="100" t="inlineStr">
        <is>
          <t>Bảo ôn ống đồng Ø12.7 dày 13mm</t>
        </is>
      </c>
      <c r="C82" s="101" t="n"/>
      <c r="D82" s="102" t="n"/>
      <c r="E82" s="103" t="inlineStr">
        <is>
          <t>m</t>
        </is>
      </c>
      <c r="F82" s="104" t="n">
        <v>1340.85</v>
      </c>
      <c r="G82" s="105" t="n"/>
      <c r="H82" s="105" t="n">
        <v>0</v>
      </c>
      <c r="I82" s="106" t="n"/>
      <c r="K82" s="107" t="inlineStr">
        <is>
          <t>Bảo ôn ống đồng Ø12.7 dày 13mm</t>
        </is>
      </c>
      <c r="L82" s="108" t="inlineStr">
        <is>
          <t>t</t>
        </is>
      </c>
      <c r="M82" s="108" t="n">
        <v>12.7</v>
      </c>
      <c r="N82" s="108" t="n">
        <v>12.7</v>
      </c>
      <c r="O82" s="63" t="n"/>
      <c r="P82" s="63" t="n"/>
      <c r="Q82" s="64" t="n"/>
      <c r="R82" s="65" t="n"/>
      <c r="S82" s="66" t="n">
        <v>1200</v>
      </c>
      <c r="T82" s="63" t="n">
        <v>12.7</v>
      </c>
      <c r="U82" s="63" t="n"/>
      <c r="V82" s="97" t="n">
        <v>0</v>
      </c>
      <c r="W82" s="68" t="n">
        <v>0</v>
      </c>
      <c r="X82" s="68" t="n">
        <v>1</v>
      </c>
      <c r="Z82" t="n">
        <v>0</v>
      </c>
      <c r="AA82" t="n">
        <v>0</v>
      </c>
    </row>
    <row r="83" ht="24.95" customHeight="1">
      <c r="A83" s="99" t="inlineStr">
        <is>
          <t>12</t>
        </is>
      </c>
      <c r="B83" s="100" t="inlineStr">
        <is>
          <t>Bảo ôn ống đồng Ø15.9 dày 19mm</t>
        </is>
      </c>
      <c r="C83" s="101" t="n"/>
      <c r="D83" s="102" t="n"/>
      <c r="E83" s="103" t="inlineStr">
        <is>
          <t>m</t>
        </is>
      </c>
      <c r="F83" s="104" t="n">
        <v>1330.75</v>
      </c>
      <c r="G83" s="105" t="n"/>
      <c r="H83" s="105" t="n">
        <v>0</v>
      </c>
      <c r="I83" s="106" t="n"/>
      <c r="K83" s="107" t="inlineStr">
        <is>
          <t>Bảo ôn ống đồng Ø15.9 dày 19mm</t>
        </is>
      </c>
      <c r="L83" s="108" t="inlineStr">
        <is>
          <t>t</t>
        </is>
      </c>
      <c r="M83" s="108" t="n">
        <v>15.9</v>
      </c>
      <c r="N83" s="108" t="n">
        <v>15.9</v>
      </c>
      <c r="O83" s="63" t="n"/>
      <c r="P83" s="63" t="n"/>
      <c r="Q83" s="64" t="n"/>
      <c r="R83" s="65" t="n"/>
      <c r="S83" s="66" t="n">
        <v>1200</v>
      </c>
      <c r="T83" s="63" t="n">
        <v>15.9</v>
      </c>
      <c r="U83" s="63" t="n"/>
      <c r="V83" s="97" t="n">
        <v>0</v>
      </c>
      <c r="W83" s="68" t="n">
        <v>0</v>
      </c>
      <c r="X83" s="68" t="n">
        <v>1</v>
      </c>
      <c r="Z83" t="n">
        <v>0</v>
      </c>
      <c r="AA83" t="n">
        <v>0</v>
      </c>
    </row>
    <row r="84" ht="24.95" customHeight="1">
      <c r="A84" s="99" t="inlineStr">
        <is>
          <t>13</t>
        </is>
      </c>
      <c r="B84" s="100" t="inlineStr">
        <is>
          <t>Bảo ôn ống đồng Ø19.1 dày 19mm</t>
        </is>
      </c>
      <c r="C84" s="101" t="n"/>
      <c r="D84" s="102" t="n"/>
      <c r="E84" s="103" t="inlineStr">
        <is>
          <t>m</t>
        </is>
      </c>
      <c r="F84" s="104" t="n">
        <v>521.65</v>
      </c>
      <c r="G84" s="105" t="n"/>
      <c r="H84" s="105" t="n">
        <v>0</v>
      </c>
      <c r="I84" s="106" t="n"/>
      <c r="K84" s="107" t="inlineStr">
        <is>
          <t>Bảo ôn ống đồng Ø19.1 dày 19mm</t>
        </is>
      </c>
      <c r="L84" s="108" t="inlineStr">
        <is>
          <t>t</t>
        </is>
      </c>
      <c r="M84" s="108" t="n">
        <v>19.1</v>
      </c>
      <c r="N84" s="108" t="n">
        <v>19.1</v>
      </c>
      <c r="O84" s="63" t="n"/>
      <c r="P84" s="63" t="n"/>
      <c r="Q84" s="64" t="n"/>
      <c r="R84" s="65" t="n"/>
      <c r="S84" s="66" t="n">
        <v>1200</v>
      </c>
      <c r="T84" s="63" t="n">
        <v>19.1</v>
      </c>
      <c r="U84" s="63" t="n"/>
      <c r="V84" s="97" t="n">
        <v>0</v>
      </c>
      <c r="W84" s="68" t="n">
        <v>0</v>
      </c>
      <c r="X84" s="68" t="n">
        <v>1</v>
      </c>
      <c r="Z84" t="n">
        <v>0</v>
      </c>
      <c r="AA84" t="n">
        <v>0</v>
      </c>
    </row>
    <row r="85" ht="24.95" customHeight="1">
      <c r="A85" s="99" t="inlineStr">
        <is>
          <t>14</t>
        </is>
      </c>
      <c r="B85" s="100" t="inlineStr">
        <is>
          <t>Bảo ôn ống đồng Ø22.2 dày 19mm</t>
        </is>
      </c>
      <c r="C85" s="101" t="n"/>
      <c r="D85" s="102" t="n"/>
      <c r="E85" s="103" t="inlineStr">
        <is>
          <t>m</t>
        </is>
      </c>
      <c r="F85" s="104" t="n">
        <v>96.25000000000001</v>
      </c>
      <c r="G85" s="105" t="n"/>
      <c r="H85" s="105" t="n">
        <v>0</v>
      </c>
      <c r="I85" s="106" t="n"/>
      <c r="K85" s="107" t="inlineStr">
        <is>
          <t>Bảo ôn ống đồng Ø22.2 dày 19mm</t>
        </is>
      </c>
      <c r="L85" s="108" t="inlineStr">
        <is>
          <t>t</t>
        </is>
      </c>
      <c r="M85" s="108" t="n">
        <v>22.2</v>
      </c>
      <c r="N85" s="108" t="n">
        <v>22.2</v>
      </c>
      <c r="O85" s="63" t="n"/>
      <c r="P85" s="63" t="n"/>
      <c r="Q85" s="64" t="n"/>
      <c r="R85" s="65" t="n"/>
      <c r="S85" s="66" t="n">
        <v>1200</v>
      </c>
      <c r="T85" s="63" t="n">
        <v>22.2</v>
      </c>
      <c r="U85" s="63" t="n"/>
      <c r="V85" s="97" t="n">
        <v>0</v>
      </c>
      <c r="W85" s="68" t="n">
        <v>0</v>
      </c>
      <c r="X85" s="68" t="n">
        <v>1</v>
      </c>
      <c r="Z85" t="n">
        <v>0</v>
      </c>
      <c r="AA85" t="n">
        <v>0</v>
      </c>
    </row>
    <row r="86" ht="24.95" customHeight="1">
      <c r="A86" s="99" t="inlineStr">
        <is>
          <t>15</t>
        </is>
      </c>
      <c r="B86" s="100" t="inlineStr">
        <is>
          <t>Bảo ôn ống đồng Ø28.6 dày 19mm</t>
        </is>
      </c>
      <c r="C86" s="101" t="n"/>
      <c r="D86" s="102" t="n"/>
      <c r="E86" s="103" t="inlineStr">
        <is>
          <t>m</t>
        </is>
      </c>
      <c r="F86" s="104" t="n">
        <v>932.7499999999999</v>
      </c>
      <c r="G86" s="105" t="n"/>
      <c r="H86" s="105" t="n">
        <v>0</v>
      </c>
      <c r="I86" s="106" t="n"/>
      <c r="K86" s="107" t="inlineStr">
        <is>
          <t>Bảo ôn ống đồng Ø28.6 dày 19mm</t>
        </is>
      </c>
      <c r="L86" s="108" t="inlineStr">
        <is>
          <t>t</t>
        </is>
      </c>
      <c r="M86" s="108" t="n">
        <v>28.6</v>
      </c>
      <c r="N86" s="108" t="n">
        <v>28.6</v>
      </c>
      <c r="O86" s="63" t="n"/>
      <c r="P86" s="63" t="n"/>
      <c r="Q86" s="64" t="n"/>
      <c r="R86" s="65" t="n"/>
      <c r="S86" s="66" t="n">
        <v>1200</v>
      </c>
      <c r="T86" s="63" t="n">
        <v>28.6</v>
      </c>
      <c r="U86" s="63" t="n"/>
      <c r="V86" s="97" t="n">
        <v>0</v>
      </c>
      <c r="W86" s="68" t="n">
        <v>0</v>
      </c>
      <c r="X86" s="68" t="n">
        <v>1</v>
      </c>
      <c r="Z86" t="n">
        <v>0</v>
      </c>
      <c r="AA86" t="n">
        <v>0</v>
      </c>
    </row>
    <row r="87" ht="24.95" customHeight="1">
      <c r="A87" s="99" t="inlineStr">
        <is>
          <t>16</t>
        </is>
      </c>
      <c r="B87" s="100" t="inlineStr">
        <is>
          <t>Bảo ôn ống đồng Ø34.9 dày 19mm</t>
        </is>
      </c>
      <c r="C87" s="101" t="n"/>
      <c r="D87" s="102" t="n"/>
      <c r="E87" s="103" t="inlineStr">
        <is>
          <t>m</t>
        </is>
      </c>
      <c r="F87" s="104" t="n">
        <v>19.55</v>
      </c>
      <c r="G87" s="105" t="n"/>
      <c r="H87" s="105" t="n">
        <v>0</v>
      </c>
      <c r="I87" s="106" t="n"/>
      <c r="K87" s="107" t="inlineStr">
        <is>
          <t>Bảo ôn ống đồng Ø34.9 dày 19mm</t>
        </is>
      </c>
      <c r="L87" s="108" t="inlineStr">
        <is>
          <t>t</t>
        </is>
      </c>
      <c r="M87" s="108" t="n">
        <v>34.9</v>
      </c>
      <c r="N87" s="108" t="n">
        <v>34.9</v>
      </c>
      <c r="O87" s="63" t="n"/>
      <c r="P87" s="63" t="n"/>
      <c r="Q87" s="64" t="n"/>
      <c r="R87" s="65" t="n"/>
      <c r="S87" s="66" t="n">
        <v>1200</v>
      </c>
      <c r="T87" s="63" t="n">
        <v>34.9</v>
      </c>
      <c r="U87" s="63" t="n"/>
      <c r="V87" s="97" t="n">
        <v>0</v>
      </c>
      <c r="W87" s="68" t="n">
        <v>0</v>
      </c>
      <c r="X87" s="68" t="n">
        <v>1</v>
      </c>
      <c r="Z87" t="n">
        <v>0</v>
      </c>
      <c r="AA87" t="n">
        <v>0</v>
      </c>
    </row>
    <row r="88" ht="24.95" customHeight="1">
      <c r="A88" s="99" t="inlineStr">
        <is>
          <t>17</t>
        </is>
      </c>
      <c r="B88" s="100" t="inlineStr">
        <is>
          <t>Bảo ôn ống đồng Ø41.3 dày 19mm</t>
        </is>
      </c>
      <c r="C88" s="101" t="n"/>
      <c r="D88" s="102" t="n"/>
      <c r="E88" s="103" t="inlineStr">
        <is>
          <t>m</t>
        </is>
      </c>
      <c r="F88" s="104" t="n">
        <v>402.15</v>
      </c>
      <c r="G88" s="105" t="n"/>
      <c r="H88" s="105" t="n">
        <v>0</v>
      </c>
      <c r="I88" s="106" t="n"/>
      <c r="K88" s="107" t="inlineStr">
        <is>
          <t>Bảo ôn ống đồng Ø41.3 dày 19mm</t>
        </is>
      </c>
      <c r="L88" s="108" t="inlineStr">
        <is>
          <t>t</t>
        </is>
      </c>
      <c r="M88" s="108" t="n">
        <v>41.3</v>
      </c>
      <c r="N88" s="108" t="n">
        <v>41.3</v>
      </c>
      <c r="O88" s="63" t="n"/>
      <c r="P88" s="63" t="n"/>
      <c r="Q88" s="64" t="n"/>
      <c r="R88" s="65" t="n"/>
      <c r="S88" s="66" t="n">
        <v>1200</v>
      </c>
      <c r="T88" s="63" t="n">
        <v>41.3</v>
      </c>
      <c r="U88" s="63" t="n"/>
      <c r="V88" s="97" t="n">
        <v>0</v>
      </c>
      <c r="W88" s="68" t="n">
        <v>0</v>
      </c>
      <c r="X88" s="68" t="n">
        <v>1</v>
      </c>
      <c r="Z88" t="n">
        <v>0</v>
      </c>
      <c r="AA88" t="n">
        <v>0</v>
      </c>
    </row>
    <row r="89" ht="24.95" customHeight="1">
      <c r="A89" s="99" t="inlineStr">
        <is>
          <t>18</t>
        </is>
      </c>
      <c r="B89" s="100" t="inlineStr">
        <is>
          <t>Giá đỡ ống đồng</t>
        </is>
      </c>
      <c r="C89" s="101" t="n"/>
      <c r="D89" s="102" t="n"/>
      <c r="E89" s="103" t="inlineStr">
        <is>
          <t>bộ</t>
        </is>
      </c>
      <c r="F89" s="104" t="n">
        <v>2192</v>
      </c>
      <c r="G89" s="105" t="n"/>
      <c r="H89" s="105" t="n">
        <v>0</v>
      </c>
      <c r="I89" s="106" t="n"/>
      <c r="K89" s="107" t="inlineStr">
        <is>
          <t>Giá đỡ ống đồng</t>
        </is>
      </c>
      <c r="L89" s="108" t="inlineStr">
        <is>
          <t>t</t>
        </is>
      </c>
      <c r="M89" s="108" t="n"/>
      <c r="N89" s="108" t="n"/>
      <c r="O89" s="63" t="n"/>
      <c r="P89" s="63" t="n"/>
      <c r="Q89" s="64" t="n"/>
      <c r="R89" s="65" t="n"/>
      <c r="S89" s="66" t="n">
        <v>1200</v>
      </c>
      <c r="T89" s="63" t="n"/>
      <c r="U89" s="63" t="n"/>
      <c r="V89" s="97" t="n">
        <v>0</v>
      </c>
      <c r="W89" s="68" t="n">
        <v>0</v>
      </c>
      <c r="X89" s="68" t="n">
        <v>1</v>
      </c>
      <c r="Z89" t="n">
        <v>0</v>
      </c>
      <c r="AA89" t="n">
        <v>0</v>
      </c>
    </row>
    <row r="90" ht="24.95" customHeight="1">
      <c r="A90" s="99" t="inlineStr">
        <is>
          <t>19</t>
        </is>
      </c>
      <c r="B90" s="100" t="inlineStr">
        <is>
          <t>Vật tư phụ</t>
        </is>
      </c>
      <c r="C90" s="101" t="n"/>
      <c r="D90" s="102" t="n"/>
      <c r="E90" s="103" t="inlineStr">
        <is>
          <t>lô</t>
        </is>
      </c>
      <c r="F90" s="104" t="n">
        <v>1</v>
      </c>
      <c r="G90" s="105" t="n"/>
      <c r="H90" s="105" t="n">
        <v>0</v>
      </c>
      <c r="I90" s="106" t="n"/>
      <c r="K90" s="107" t="inlineStr">
        <is>
          <t>Vật tư phụ</t>
        </is>
      </c>
      <c r="L90" s="108" t="inlineStr"/>
      <c r="M90" s="108" t="n"/>
      <c r="N90" s="108" t="n"/>
      <c r="O90" s="63" t="n"/>
      <c r="P90" s="63" t="n"/>
      <c r="Q90" s="64" t="n"/>
      <c r="R90" s="65" t="n"/>
      <c r="S90" s="66" t="n">
        <v>1200</v>
      </c>
      <c r="T90" s="63" t="n"/>
      <c r="U90" s="63" t="n"/>
      <c r="V90" s="97" t="n">
        <v>0</v>
      </c>
      <c r="W90" s="68" t="n">
        <v>0</v>
      </c>
      <c r="X90" s="68" t="n">
        <v>0</v>
      </c>
      <c r="Z90" t="n">
        <v>0</v>
      </c>
      <c r="AA90" t="n">
        <v>0</v>
      </c>
    </row>
    <row r="91" ht="24.95" customHeight="1">
      <c r="A91" s="151" t="inlineStr">
        <is>
          <t>V</t>
        </is>
      </c>
      <c r="B91" s="152" t="inlineStr">
        <is>
          <t>Ống nước ngưng kèm bảo ôn</t>
        </is>
      </c>
      <c r="C91" s="101" t="n"/>
      <c r="D91" s="102" t="n"/>
      <c r="E91" s="103" t="n"/>
      <c r="F91" s="104" t="n">
        <v>0</v>
      </c>
      <c r="G91" s="105" t="n"/>
      <c r="H91" s="105">
        <f>G91*F91</f>
        <v/>
      </c>
      <c r="I91" s="106" t="n"/>
      <c r="K91" s="107">
        <f>+B91</f>
        <v/>
      </c>
      <c r="L91" s="108" t="n"/>
      <c r="M91" s="108" t="n"/>
      <c r="N91" s="108" t="n"/>
      <c r="O91" s="63" t="n"/>
      <c r="P91" s="63" t="n"/>
      <c r="Q91" s="64" t="n"/>
      <c r="R91" s="65" t="n"/>
      <c r="S91" s="66" t="n"/>
      <c r="T91" s="63" t="n"/>
      <c r="U91" s="63" t="n"/>
      <c r="V91" s="97" t="n"/>
      <c r="W91" s="68" t="n"/>
      <c r="X91" s="68" t="n"/>
    </row>
    <row r="92" ht="24.95" customHeight="1">
      <c r="A92" s="99" t="inlineStr">
        <is>
          <t>1</t>
        </is>
      </c>
      <c r="B92" s="100" t="inlineStr">
        <is>
          <t>Ống nước ngưng D27</t>
        </is>
      </c>
      <c r="C92" s="101" t="n"/>
      <c r="D92" s="102" t="n"/>
      <c r="E92" s="103" t="inlineStr">
        <is>
          <t>m</t>
        </is>
      </c>
      <c r="F92" s="104" t="n">
        <v>896</v>
      </c>
      <c r="G92" s="105" t="n"/>
      <c r="H92" s="105" t="n">
        <v>0</v>
      </c>
      <c r="I92" s="106" t="n"/>
      <c r="K92" s="107" t="inlineStr">
        <is>
          <t>Ống nước ngưng D27</t>
        </is>
      </c>
      <c r="L92" s="108" t="inlineStr">
        <is>
          <t>t</t>
        </is>
      </c>
      <c r="M92" s="108" t="n">
        <v>27</v>
      </c>
      <c r="N92" s="108" t="n">
        <v>27</v>
      </c>
      <c r="O92" s="63" t="n"/>
      <c r="P92" s="63" t="n"/>
      <c r="Q92" s="64" t="n"/>
      <c r="R92" s="65" t="n"/>
      <c r="S92" s="66" t="n">
        <v>1200</v>
      </c>
      <c r="T92" s="63" t="n">
        <v>27</v>
      </c>
      <c r="U92" s="63" t="n"/>
      <c r="V92" s="97" t="n">
        <v>0</v>
      </c>
      <c r="W92" s="68" t="n">
        <v>0</v>
      </c>
      <c r="X92" s="68" t="n">
        <v>1</v>
      </c>
      <c r="Z92" t="n">
        <v>0</v>
      </c>
      <c r="AA92" t="n">
        <v>0</v>
      </c>
    </row>
    <row r="93" ht="24.95" customHeight="1">
      <c r="A93" s="99" t="inlineStr">
        <is>
          <t>2</t>
        </is>
      </c>
      <c r="B93" s="100" t="inlineStr">
        <is>
          <t>Ống nước ngưng D34</t>
        </is>
      </c>
      <c r="C93" s="101" t="n"/>
      <c r="D93" s="102" t="n"/>
      <c r="E93" s="103" t="inlineStr">
        <is>
          <t>m</t>
        </is>
      </c>
      <c r="F93" s="104" t="n">
        <v>68.90000000000001</v>
      </c>
      <c r="G93" s="105" t="n"/>
      <c r="H93" s="105" t="n">
        <v>0</v>
      </c>
      <c r="I93" s="106" t="n"/>
      <c r="K93" s="107" t="inlineStr">
        <is>
          <t>Ống nước ngưng D34</t>
        </is>
      </c>
      <c r="L93" s="108" t="inlineStr">
        <is>
          <t>t</t>
        </is>
      </c>
      <c r="M93" s="108" t="n">
        <v>34</v>
      </c>
      <c r="N93" s="108" t="n">
        <v>34</v>
      </c>
      <c r="O93" s="63" t="n"/>
      <c r="P93" s="63" t="n"/>
      <c r="Q93" s="64" t="n"/>
      <c r="R93" s="65" t="n"/>
      <c r="S93" s="66" t="n">
        <v>1200</v>
      </c>
      <c r="T93" s="63" t="n">
        <v>34</v>
      </c>
      <c r="U93" s="63" t="n"/>
      <c r="V93" s="97" t="n">
        <v>0</v>
      </c>
      <c r="W93" s="68" t="n">
        <v>0</v>
      </c>
      <c r="X93" s="68" t="n">
        <v>1</v>
      </c>
      <c r="Z93" t="n">
        <v>0</v>
      </c>
      <c r="AA93" t="n">
        <v>0</v>
      </c>
    </row>
    <row r="94" ht="24.95" customHeight="1">
      <c r="A94" s="99" t="inlineStr">
        <is>
          <t>3</t>
        </is>
      </c>
      <c r="B94" s="100" t="inlineStr">
        <is>
          <t>Ống nước ngưng D42</t>
        </is>
      </c>
      <c r="C94" s="101" t="n"/>
      <c r="D94" s="102" t="n"/>
      <c r="E94" s="103" t="inlineStr">
        <is>
          <t>m</t>
        </is>
      </c>
      <c r="F94" s="104" t="n">
        <v>427</v>
      </c>
      <c r="G94" s="105" t="n"/>
      <c r="H94" s="105" t="n">
        <v>0</v>
      </c>
      <c r="I94" s="106" t="n"/>
      <c r="K94" s="107" t="inlineStr">
        <is>
          <t>Ống nước ngưng D42</t>
        </is>
      </c>
      <c r="L94" s="108" t="inlineStr">
        <is>
          <t>t</t>
        </is>
      </c>
      <c r="M94" s="108" t="n">
        <v>42</v>
      </c>
      <c r="N94" s="108" t="n">
        <v>42</v>
      </c>
      <c r="O94" s="63" t="n"/>
      <c r="P94" s="63" t="n"/>
      <c r="Q94" s="64" t="n"/>
      <c r="R94" s="65" t="n"/>
      <c r="S94" s="66" t="n">
        <v>1200</v>
      </c>
      <c r="T94" s="63" t="n">
        <v>42</v>
      </c>
      <c r="U94" s="63" t="n"/>
      <c r="V94" s="97" t="n">
        <v>0</v>
      </c>
      <c r="W94" s="68" t="n">
        <v>0</v>
      </c>
      <c r="X94" s="68" t="n">
        <v>1</v>
      </c>
      <c r="Z94" t="n">
        <v>0</v>
      </c>
      <c r="AA94" t="n">
        <v>0</v>
      </c>
    </row>
    <row r="95" ht="24.95" customHeight="1">
      <c r="A95" s="99" t="inlineStr">
        <is>
          <t>4</t>
        </is>
      </c>
      <c r="B95" s="100" t="inlineStr">
        <is>
          <t>Ống nước ngưng D48</t>
        </is>
      </c>
      <c r="C95" s="101" t="n"/>
      <c r="D95" s="102" t="n"/>
      <c r="E95" s="103" t="inlineStr">
        <is>
          <t>m</t>
        </is>
      </c>
      <c r="F95" s="104" t="n">
        <v>8</v>
      </c>
      <c r="G95" s="105" t="n"/>
      <c r="H95" s="105" t="n">
        <v>0</v>
      </c>
      <c r="I95" s="106" t="n"/>
      <c r="K95" s="107" t="inlineStr">
        <is>
          <t>Ống nước ngưng D48</t>
        </is>
      </c>
      <c r="L95" s="108" t="inlineStr">
        <is>
          <t>t</t>
        </is>
      </c>
      <c r="M95" s="108" t="n">
        <v>48</v>
      </c>
      <c r="N95" s="108" t="n">
        <v>48</v>
      </c>
      <c r="O95" s="63" t="n"/>
      <c r="P95" s="63" t="n"/>
      <c r="Q95" s="64" t="n"/>
      <c r="R95" s="65" t="n"/>
      <c r="S95" s="66" t="n">
        <v>1200</v>
      </c>
      <c r="T95" s="63" t="n">
        <v>48</v>
      </c>
      <c r="U95" s="63" t="n"/>
      <c r="V95" s="97" t="n">
        <v>0</v>
      </c>
      <c r="W95" s="68" t="n">
        <v>0</v>
      </c>
      <c r="X95" s="68" t="n">
        <v>1</v>
      </c>
      <c r="Z95" t="n">
        <v>0</v>
      </c>
      <c r="AA95" t="n">
        <v>0</v>
      </c>
    </row>
    <row r="96" ht="24.95" customHeight="1">
      <c r="A96" s="99" t="inlineStr">
        <is>
          <t>5</t>
        </is>
      </c>
      <c r="B96" s="100" t="inlineStr">
        <is>
          <t>Ống nước ngưng D60</t>
        </is>
      </c>
      <c r="C96" s="101" t="n"/>
      <c r="D96" s="102" t="n"/>
      <c r="E96" s="103" t="inlineStr">
        <is>
          <t>m</t>
        </is>
      </c>
      <c r="F96" s="104" t="n">
        <v>161</v>
      </c>
      <c r="G96" s="105" t="n"/>
      <c r="H96" s="105" t="n">
        <v>0</v>
      </c>
      <c r="I96" s="106" t="n"/>
      <c r="K96" s="107" t="inlineStr">
        <is>
          <t>Ống nước ngưng D60</t>
        </is>
      </c>
      <c r="L96" s="108" t="inlineStr">
        <is>
          <t>t</t>
        </is>
      </c>
      <c r="M96" s="108" t="n">
        <v>60</v>
      </c>
      <c r="N96" s="108" t="n">
        <v>60</v>
      </c>
      <c r="O96" s="63" t="n"/>
      <c r="P96" s="63" t="n"/>
      <c r="Q96" s="64" t="n"/>
      <c r="R96" s="65" t="n"/>
      <c r="S96" s="66" t="n">
        <v>1200</v>
      </c>
      <c r="T96" s="63" t="n">
        <v>60</v>
      </c>
      <c r="U96" s="63" t="n"/>
      <c r="V96" s="97" t="n">
        <v>0</v>
      </c>
      <c r="W96" s="68" t="n">
        <v>0</v>
      </c>
      <c r="X96" s="68" t="n">
        <v>1</v>
      </c>
      <c r="Z96" t="n">
        <v>0</v>
      </c>
      <c r="AA96" t="n">
        <v>0</v>
      </c>
    </row>
    <row r="97" ht="24.95" customHeight="1">
      <c r="A97" s="99" t="inlineStr">
        <is>
          <t>6</t>
        </is>
      </c>
      <c r="B97" s="100" t="inlineStr">
        <is>
          <t>Ống nước ngưng D90</t>
        </is>
      </c>
      <c r="C97" s="101" t="n"/>
      <c r="D97" s="102" t="n"/>
      <c r="E97" s="103" t="inlineStr">
        <is>
          <t>m</t>
        </is>
      </c>
      <c r="F97" s="104" t="n">
        <v>160</v>
      </c>
      <c r="G97" s="105" t="n"/>
      <c r="H97" s="105" t="n">
        <v>0</v>
      </c>
      <c r="I97" s="106" t="n"/>
      <c r="K97" s="107" t="inlineStr">
        <is>
          <t>Ống nước ngưng D90</t>
        </is>
      </c>
      <c r="L97" s="108" t="inlineStr">
        <is>
          <t>t</t>
        </is>
      </c>
      <c r="M97" s="108" t="n">
        <v>90</v>
      </c>
      <c r="N97" s="108" t="n">
        <v>90</v>
      </c>
      <c r="O97" s="63" t="n"/>
      <c r="P97" s="63" t="n"/>
      <c r="Q97" s="64" t="n"/>
      <c r="R97" s="65" t="n"/>
      <c r="S97" s="66" t="n">
        <v>1200</v>
      </c>
      <c r="T97" s="63" t="n">
        <v>90</v>
      </c>
      <c r="U97" s="63" t="n"/>
      <c r="V97" s="97" t="n">
        <v>0</v>
      </c>
      <c r="W97" s="68" t="n">
        <v>0</v>
      </c>
      <c r="X97" s="68" t="n">
        <v>1</v>
      </c>
      <c r="Z97" t="n">
        <v>0</v>
      </c>
      <c r="AA97" t="n">
        <v>0</v>
      </c>
    </row>
    <row r="98" ht="24.95" customHeight="1">
      <c r="A98" s="99" t="inlineStr">
        <is>
          <t>7</t>
        </is>
      </c>
      <c r="B98" s="100" t="inlineStr">
        <is>
          <t>Phụ kiện ống thoát nước ngưng</t>
        </is>
      </c>
      <c r="C98" s="101" t="n"/>
      <c r="D98" s="102" t="n"/>
      <c r="E98" s="103" t="inlineStr">
        <is>
          <t>lô</t>
        </is>
      </c>
      <c r="F98" s="104" t="n">
        <v>1</v>
      </c>
      <c r="G98" s="105" t="n"/>
      <c r="H98" s="105" t="n">
        <v>0</v>
      </c>
      <c r="I98" s="106" t="n"/>
      <c r="K98" s="107" t="inlineStr">
        <is>
          <t>Phụ kiện ống thoát nước ngưng</t>
        </is>
      </c>
      <c r="L98" s="108" t="inlineStr">
        <is>
          <t>t</t>
        </is>
      </c>
      <c r="M98" s="108" t="n"/>
      <c r="N98" s="108" t="n"/>
      <c r="O98" s="63" t="n"/>
      <c r="P98" s="63" t="n"/>
      <c r="Q98" s="64" t="n"/>
      <c r="R98" s="65" t="n"/>
      <c r="S98" s="66" t="n">
        <v>1200</v>
      </c>
      <c r="T98" s="63" t="n"/>
      <c r="U98" s="63" t="n"/>
      <c r="V98" s="97" t="n">
        <v>0</v>
      </c>
      <c r="W98" s="68" t="n">
        <v>0</v>
      </c>
      <c r="X98" s="68" t="n">
        <v>1</v>
      </c>
      <c r="Z98" t="n">
        <v>0</v>
      </c>
      <c r="AA98" t="n">
        <v>0</v>
      </c>
    </row>
    <row r="99" ht="24.95" customHeight="1">
      <c r="A99" s="99" t="inlineStr">
        <is>
          <t>8</t>
        </is>
      </c>
      <c r="B99" s="100" t="inlineStr">
        <is>
          <t>Bảo ôn ống nước ngưng D27 dày 13mm</t>
        </is>
      </c>
      <c r="C99" s="101" t="n"/>
      <c r="D99" s="102" t="n"/>
      <c r="E99" s="103" t="inlineStr">
        <is>
          <t>m</t>
        </is>
      </c>
      <c r="F99" s="104" t="n">
        <v>896</v>
      </c>
      <c r="G99" s="105" t="n"/>
      <c r="H99" s="105" t="n">
        <v>0</v>
      </c>
      <c r="I99" s="106" t="n"/>
      <c r="K99" s="107" t="inlineStr">
        <is>
          <t>Bảo ôn ống nước ngưng D27 dày 13mm</t>
        </is>
      </c>
      <c r="L99" s="108" t="inlineStr">
        <is>
          <t>t</t>
        </is>
      </c>
      <c r="M99" s="108" t="n">
        <v>27</v>
      </c>
      <c r="N99" s="108" t="n">
        <v>27</v>
      </c>
      <c r="O99" s="63" t="n"/>
      <c r="P99" s="63" t="n"/>
      <c r="Q99" s="64" t="n"/>
      <c r="R99" s="65" t="n"/>
      <c r="S99" s="66" t="n">
        <v>1200</v>
      </c>
      <c r="T99" s="63" t="n">
        <v>27</v>
      </c>
      <c r="U99" s="63" t="n"/>
      <c r="V99" s="97" t="n">
        <v>0</v>
      </c>
      <c r="W99" s="68" t="n">
        <v>0</v>
      </c>
      <c r="X99" s="68" t="n">
        <v>1</v>
      </c>
      <c r="Z99" t="n">
        <v>0</v>
      </c>
      <c r="AA99" t="n">
        <v>0</v>
      </c>
    </row>
    <row r="100" ht="24.95" customHeight="1">
      <c r="A100" s="99" t="inlineStr">
        <is>
          <t>9</t>
        </is>
      </c>
      <c r="B100" s="100" t="inlineStr">
        <is>
          <t>Bảo ôn ống nước ngưng D34 dày 13mm</t>
        </is>
      </c>
      <c r="C100" s="101" t="n"/>
      <c r="D100" s="102" t="n"/>
      <c r="E100" s="103" t="inlineStr">
        <is>
          <t>m</t>
        </is>
      </c>
      <c r="F100" s="104" t="n">
        <v>68.90000000000001</v>
      </c>
      <c r="G100" s="105" t="n"/>
      <c r="H100" s="105" t="n">
        <v>0</v>
      </c>
      <c r="I100" s="106" t="n"/>
      <c r="K100" s="107" t="inlineStr">
        <is>
          <t>Bảo ôn ống nước ngưng D34 dày 13mm</t>
        </is>
      </c>
      <c r="L100" s="108" t="inlineStr">
        <is>
          <t>t</t>
        </is>
      </c>
      <c r="M100" s="108" t="n">
        <v>34</v>
      </c>
      <c r="N100" s="108" t="n">
        <v>34</v>
      </c>
      <c r="O100" s="63" t="n"/>
      <c r="P100" s="63" t="n"/>
      <c r="Q100" s="64" t="n"/>
      <c r="R100" s="65" t="n"/>
      <c r="S100" s="66" t="n">
        <v>1200</v>
      </c>
      <c r="T100" s="63" t="n">
        <v>34</v>
      </c>
      <c r="U100" s="63" t="n"/>
      <c r="V100" s="97" t="n">
        <v>0</v>
      </c>
      <c r="W100" s="68" t="n">
        <v>0</v>
      </c>
      <c r="X100" s="68" t="n">
        <v>1</v>
      </c>
      <c r="Z100" t="n">
        <v>0</v>
      </c>
      <c r="AA100" t="n">
        <v>0</v>
      </c>
    </row>
    <row r="101" ht="24.95" customHeight="1">
      <c r="A101" s="99" t="inlineStr">
        <is>
          <t>10</t>
        </is>
      </c>
      <c r="B101" s="100" t="inlineStr">
        <is>
          <t>Bảo ôn ống nước ngưng D42 dày 13mm</t>
        </is>
      </c>
      <c r="C101" s="101" t="n"/>
      <c r="D101" s="102" t="n"/>
      <c r="E101" s="103" t="inlineStr">
        <is>
          <t>m</t>
        </is>
      </c>
      <c r="F101" s="104" t="n">
        <v>427</v>
      </c>
      <c r="G101" s="105" t="n"/>
      <c r="H101" s="105" t="n">
        <v>0</v>
      </c>
      <c r="I101" s="106" t="n"/>
      <c r="K101" s="107" t="inlineStr">
        <is>
          <t>Bảo ôn ống nước ngưng D42 dày 13mm</t>
        </is>
      </c>
      <c r="L101" s="108" t="inlineStr">
        <is>
          <t>t</t>
        </is>
      </c>
      <c r="M101" s="108" t="n">
        <v>42</v>
      </c>
      <c r="N101" s="108" t="n">
        <v>42</v>
      </c>
      <c r="O101" s="63" t="n"/>
      <c r="P101" s="63" t="n"/>
      <c r="Q101" s="64" t="n"/>
      <c r="R101" s="65" t="n"/>
      <c r="S101" s="66" t="n">
        <v>1200</v>
      </c>
      <c r="T101" s="63" t="n">
        <v>42</v>
      </c>
      <c r="U101" s="63" t="n"/>
      <c r="V101" s="97" t="n">
        <v>0</v>
      </c>
      <c r="W101" s="68" t="n">
        <v>0</v>
      </c>
      <c r="X101" s="68" t="n">
        <v>1</v>
      </c>
      <c r="Z101" t="n">
        <v>0</v>
      </c>
      <c r="AA101" t="n">
        <v>0</v>
      </c>
    </row>
    <row r="102" ht="24.95" customHeight="1">
      <c r="A102" s="99" t="inlineStr">
        <is>
          <t>11</t>
        </is>
      </c>
      <c r="B102" s="100" t="inlineStr">
        <is>
          <t>Bảo ôn ống nước ngưng D48 dày 13mm</t>
        </is>
      </c>
      <c r="C102" s="101" t="n"/>
      <c r="D102" s="102" t="n"/>
      <c r="E102" s="103" t="inlineStr">
        <is>
          <t>m</t>
        </is>
      </c>
      <c r="F102" s="104" t="n">
        <v>8</v>
      </c>
      <c r="G102" s="105" t="n"/>
      <c r="H102" s="105" t="n">
        <v>0</v>
      </c>
      <c r="I102" s="106" t="n"/>
      <c r="K102" s="107" t="inlineStr">
        <is>
          <t>Bảo ôn ống nước ngưng D48 dày 13mm</t>
        </is>
      </c>
      <c r="L102" s="108" t="inlineStr">
        <is>
          <t>t</t>
        </is>
      </c>
      <c r="M102" s="108" t="n">
        <v>48</v>
      </c>
      <c r="N102" s="108" t="n">
        <v>48</v>
      </c>
      <c r="O102" s="63" t="n"/>
      <c r="P102" s="63" t="n"/>
      <c r="Q102" s="64" t="n"/>
      <c r="R102" s="65" t="n"/>
      <c r="S102" s="66" t="n">
        <v>1200</v>
      </c>
      <c r="T102" s="63" t="n">
        <v>48</v>
      </c>
      <c r="U102" s="63" t="n"/>
      <c r="V102" s="97" t="n">
        <v>0</v>
      </c>
      <c r="W102" s="68" t="n">
        <v>0</v>
      </c>
      <c r="X102" s="68" t="n">
        <v>1</v>
      </c>
      <c r="Z102" t="n">
        <v>0</v>
      </c>
      <c r="AA102" t="n">
        <v>0</v>
      </c>
    </row>
    <row r="103" ht="24.95" customHeight="1">
      <c r="A103" s="99" t="inlineStr">
        <is>
          <t>12</t>
        </is>
      </c>
      <c r="B103" s="100" t="inlineStr">
        <is>
          <t>Bảo ôn ống nước ngưng D60 dày 13mm</t>
        </is>
      </c>
      <c r="C103" s="101" t="n"/>
      <c r="D103" s="102" t="n"/>
      <c r="E103" s="103" t="inlineStr">
        <is>
          <t>m</t>
        </is>
      </c>
      <c r="F103" s="104" t="n">
        <v>161</v>
      </c>
      <c r="G103" s="105" t="n"/>
      <c r="H103" s="105" t="n">
        <v>0</v>
      </c>
      <c r="I103" s="106" t="n"/>
      <c r="K103" s="107" t="inlineStr">
        <is>
          <t>Bảo ôn ống nước ngưng D60 dày 13mm</t>
        </is>
      </c>
      <c r="L103" s="108" t="inlineStr">
        <is>
          <t>t</t>
        </is>
      </c>
      <c r="M103" s="108" t="n">
        <v>60</v>
      </c>
      <c r="N103" s="108" t="n">
        <v>60</v>
      </c>
      <c r="O103" s="63" t="n"/>
      <c r="P103" s="63" t="n"/>
      <c r="Q103" s="64" t="n"/>
      <c r="R103" s="65" t="n"/>
      <c r="S103" s="66" t="n">
        <v>1200</v>
      </c>
      <c r="T103" s="63" t="n">
        <v>60</v>
      </c>
      <c r="U103" s="63" t="n"/>
      <c r="V103" s="97" t="n">
        <v>0</v>
      </c>
      <c r="W103" s="68" t="n">
        <v>0</v>
      </c>
      <c r="X103" s="68" t="n">
        <v>1</v>
      </c>
      <c r="Z103" t="n">
        <v>0</v>
      </c>
      <c r="AA103" t="n">
        <v>0</v>
      </c>
    </row>
    <row r="104" ht="24.95" customHeight="1">
      <c r="A104" s="99" t="inlineStr">
        <is>
          <t>13</t>
        </is>
      </c>
      <c r="B104" s="100" t="inlineStr">
        <is>
          <t>Bảo ôn ống nước ngưng D90 dày 13mm</t>
        </is>
      </c>
      <c r="C104" s="101" t="n"/>
      <c r="D104" s="102" t="n"/>
      <c r="E104" s="103" t="inlineStr">
        <is>
          <t>m</t>
        </is>
      </c>
      <c r="F104" s="104" t="n">
        <v>100</v>
      </c>
      <c r="G104" s="105" t="n"/>
      <c r="H104" s="105" t="n">
        <v>0</v>
      </c>
      <c r="I104" s="106" t="n"/>
      <c r="K104" s="107" t="inlineStr">
        <is>
          <t>Bảo ôn ống nước ngưng D90 dày 13mm</t>
        </is>
      </c>
      <c r="L104" s="108" t="inlineStr">
        <is>
          <t>t</t>
        </is>
      </c>
      <c r="M104" s="108" t="n">
        <v>90</v>
      </c>
      <c r="N104" s="108" t="n">
        <v>90</v>
      </c>
      <c r="O104" s="63" t="n"/>
      <c r="P104" s="63" t="n"/>
      <c r="Q104" s="64" t="n"/>
      <c r="R104" s="65" t="n"/>
      <c r="S104" s="66" t="n">
        <v>1200</v>
      </c>
      <c r="T104" s="63" t="n">
        <v>90</v>
      </c>
      <c r="U104" s="63" t="n"/>
      <c r="V104" s="97" t="n">
        <v>0</v>
      </c>
      <c r="W104" s="68" t="n">
        <v>0</v>
      </c>
      <c r="X104" s="68" t="n">
        <v>1</v>
      </c>
      <c r="Z104" t="n">
        <v>0</v>
      </c>
      <c r="AA104" t="n">
        <v>0</v>
      </c>
    </row>
    <row r="105" ht="24.95" customHeight="1">
      <c r="A105" s="99" t="inlineStr">
        <is>
          <t>14</t>
        </is>
      </c>
      <c r="B105" s="100" t="inlineStr">
        <is>
          <t>Giá đỡ ống đồng</t>
        </is>
      </c>
      <c r="C105" s="101" t="n"/>
      <c r="D105" s="102" t="n"/>
      <c r="E105" s="103" t="inlineStr">
        <is>
          <t>bộ</t>
        </is>
      </c>
      <c r="F105" s="104" t="n">
        <v>1660</v>
      </c>
      <c r="G105" s="105" t="n"/>
      <c r="H105" s="105" t="n">
        <v>0</v>
      </c>
      <c r="I105" s="106" t="n"/>
      <c r="K105" s="107" t="inlineStr">
        <is>
          <t>Giá đỡ ống đồng</t>
        </is>
      </c>
      <c r="L105" s="108" t="inlineStr">
        <is>
          <t>t</t>
        </is>
      </c>
      <c r="M105" s="108" t="n"/>
      <c r="N105" s="108" t="n"/>
      <c r="O105" s="63" t="n"/>
      <c r="P105" s="63" t="n"/>
      <c r="Q105" s="64" t="n"/>
      <c r="R105" s="65" t="n"/>
      <c r="S105" s="66" t="n">
        <v>1200</v>
      </c>
      <c r="T105" s="63" t="n"/>
      <c r="U105" s="63" t="n"/>
      <c r="V105" s="97" t="n">
        <v>0</v>
      </c>
      <c r="W105" s="68" t="n">
        <v>0</v>
      </c>
      <c r="X105" s="98" t="n">
        <v>1</v>
      </c>
      <c r="Z105" t="n">
        <v>0</v>
      </c>
      <c r="AA105" t="n">
        <v>0</v>
      </c>
    </row>
    <row r="106" ht="24.95" customHeight="1">
      <c r="A106" s="99" t="inlineStr">
        <is>
          <t>15</t>
        </is>
      </c>
      <c r="B106" s="100" t="inlineStr">
        <is>
          <t>Vật tư phụ</t>
        </is>
      </c>
      <c r="C106" s="101" t="n"/>
      <c r="D106" s="102" t="n"/>
      <c r="E106" s="103" t="inlineStr">
        <is>
          <t>lô</t>
        </is>
      </c>
      <c r="F106" s="104" t="n">
        <v>1</v>
      </c>
      <c r="G106" s="105" t="n"/>
      <c r="H106" s="105" t="n">
        <v>0</v>
      </c>
      <c r="I106" s="106" t="n"/>
      <c r="K106" s="107" t="inlineStr">
        <is>
          <t>Vật tư phụ</t>
        </is>
      </c>
      <c r="L106" s="108" t="inlineStr"/>
      <c r="M106" s="108" t="n"/>
      <c r="N106" s="108" t="n"/>
      <c r="O106" s="63" t="n"/>
      <c r="P106" s="63" t="n"/>
      <c r="Q106" s="64" t="n"/>
      <c r="R106" s="65" t="n"/>
      <c r="S106" s="66" t="n">
        <v>1200</v>
      </c>
      <c r="T106" s="63" t="n"/>
      <c r="U106" s="63" t="n"/>
      <c r="V106" s="97" t="n">
        <v>0</v>
      </c>
      <c r="W106" s="68" t="n">
        <v>0</v>
      </c>
      <c r="X106" s="98" t="n">
        <v>0</v>
      </c>
      <c r="Z106" t="n">
        <v>0</v>
      </c>
      <c r="AA106" t="n">
        <v>0</v>
      </c>
    </row>
    <row r="107" ht="24.95" customHeight="1">
      <c r="A107" s="151" t="inlineStr">
        <is>
          <t>VI</t>
        </is>
      </c>
      <c r="B107" s="152" t="inlineStr">
        <is>
          <t>Ống gió lạnh kèm phụ kiện</t>
        </is>
      </c>
      <c r="C107" s="101" t="n"/>
      <c r="D107" s="102" t="n"/>
      <c r="E107" s="103" t="n"/>
      <c r="F107" s="104" t="n">
        <v>0</v>
      </c>
      <c r="G107" s="105" t="n"/>
      <c r="H107" s="105">
        <f>G107*F107</f>
        <v/>
      </c>
      <c r="I107" s="106" t="n"/>
      <c r="K107" s="107">
        <f>+B107</f>
        <v/>
      </c>
      <c r="L107" s="108" t="n"/>
      <c r="M107" s="108" t="n"/>
      <c r="N107" s="108" t="n"/>
      <c r="O107" s="63" t="n"/>
      <c r="P107" s="63" t="n"/>
      <c r="Q107" s="64" t="n"/>
      <c r="R107" s="65" t="n"/>
      <c r="S107" s="66" t="n"/>
      <c r="T107" s="63" t="n"/>
      <c r="U107" s="63" t="n"/>
      <c r="V107" s="97">
        <f>(IF(OR(L107="t",L107="TA",),(M107+N107)*2/1000*S107/1000,(IF(OR(L107="F",L107="M"),(M107*N107),IF(L107="d",(M107+N107+U107/1/2)*2*S107,IF(L107="tb",((M107+N107)*2*S107+M107*N107),IF(OR(L107="g",L107="n"),((M107+O107)*SQRT((S107)^2+((N107-P107)/2)^2)+(N107+P107)*SQRT((S107)^2+((M107-O107)/2)^2)),IF(LEFT(L107,1)="c",(2*(PI()*((M107+T107)^2-T107^2)+N107*(PI()*(M107+T107)+PI()*T107))*(U107/360)),IF(LEFT(L107,2)="vt",((M107+O107)*SQRT((S107)^2+((N107-P107)/2)^2)+(N107+P107)*SQRT((S107)^2+((M107-O107)/2)^2)+((T107+200)^2-(T107/2)^2*3.14)),IF(L107="tt",(2*(M107+N107)*(S107-1.5*O107)+(PI()*(3*O107+2/3*M107)*(O107+2/3*M107+P107+N107)-(P107+N107)*(PI()*1.5*O107))/8+(PI()*(3*Q107+2/3*M107)*(Q107+2/3*M107+R107+N107)-(R107+N107)*(PI()*1.5*Q107))/8),0))))))))/10^6))</f>
        <v/>
      </c>
      <c r="W107" s="68" t="n"/>
      <c r="X107" s="98" t="n"/>
    </row>
    <row r="108" ht="24.95" customHeight="1">
      <c r="A108" s="99" t="inlineStr">
        <is>
          <t>1</t>
        </is>
      </c>
      <c r="B108" s="100" t="inlineStr">
        <is>
          <t>Ống gió mềm kèm bảo ôn D200</t>
        </is>
      </c>
      <c r="C108" s="101" t="inlineStr">
        <is>
          <t>Ống mềm có bảo ôn</t>
        </is>
      </c>
      <c r="D108" s="102" t="inlineStr">
        <is>
          <t>Kaiyo Việt Nam</t>
        </is>
      </c>
      <c r="E108" s="103" t="inlineStr">
        <is>
          <t>ống</t>
        </is>
      </c>
      <c r="F108" s="104" t="n">
        <v>129</v>
      </c>
      <c r="G108" s="105" t="n">
        <v>312000</v>
      </c>
      <c r="H108" s="105" t="n">
        <v>40248000</v>
      </c>
      <c r="I108" s="106" t="inlineStr">
        <is>
          <t>1 ống =8 m | Tự quy đổi ống sang m, làm tròn lên nguyên ống</t>
        </is>
      </c>
      <c r="J108" s="153" t="n"/>
      <c r="K108" s="107" t="inlineStr">
        <is>
          <t>Ống gió mềm kèm bảo ôn D200</t>
        </is>
      </c>
      <c r="L108" s="108" t="inlineStr">
        <is>
          <t>t</t>
        </is>
      </c>
      <c r="M108" s="108" t="n">
        <v>200</v>
      </c>
      <c r="N108" s="108" t="n">
        <v>200</v>
      </c>
      <c r="O108" s="63" t="n"/>
      <c r="P108" s="63" t="n"/>
      <c r="Q108" s="64" t="n"/>
      <c r="R108" s="65" t="n"/>
      <c r="S108" s="66" t="n">
        <v>1200</v>
      </c>
      <c r="T108" s="63" t="n">
        <v>200</v>
      </c>
      <c r="U108" s="63" t="n"/>
      <c r="V108" s="97" t="n">
        <v>0</v>
      </c>
      <c r="W108" s="68" t="n">
        <v>312000</v>
      </c>
      <c r="X108" s="98" t="n">
        <v>1</v>
      </c>
      <c r="Z108" t="n">
        <v>0</v>
      </c>
      <c r="AA108" t="n">
        <v>0</v>
      </c>
    </row>
    <row r="109" ht="24.95" customHeight="1">
      <c r="A109" s="99" t="inlineStr">
        <is>
          <t>2</t>
        </is>
      </c>
      <c r="B109" s="100" t="inlineStr">
        <is>
          <t>Ống gió mềm kèm bảo ôn D250</t>
        </is>
      </c>
      <c r="C109" s="101" t="inlineStr">
        <is>
          <t>Ống mềm có bảo ôn</t>
        </is>
      </c>
      <c r="D109" s="102" t="inlineStr">
        <is>
          <t>Kaiyo Việt Nam</t>
        </is>
      </c>
      <c r="E109" s="103" t="inlineStr">
        <is>
          <t>ống</t>
        </is>
      </c>
      <c r="F109" s="104" t="n">
        <v>40</v>
      </c>
      <c r="G109" s="105" t="n">
        <v>396000</v>
      </c>
      <c r="H109" s="105" t="n">
        <v>15840000</v>
      </c>
      <c r="I109" s="106" t="inlineStr">
        <is>
          <t>1 ống =8 m | Tự quy đổi ống sang m, làm tròn lên nguyên ống</t>
        </is>
      </c>
      <c r="J109" s="153" t="n"/>
      <c r="K109" s="107" t="inlineStr">
        <is>
          <t>Ống gió mềm kèm bảo ôn D250</t>
        </is>
      </c>
      <c r="L109" s="108" t="inlineStr">
        <is>
          <t>t</t>
        </is>
      </c>
      <c r="M109" s="108" t="n">
        <v>250</v>
      </c>
      <c r="N109" s="108" t="n">
        <v>250</v>
      </c>
      <c r="O109" s="63" t="n"/>
      <c r="P109" s="63" t="n"/>
      <c r="Q109" s="64" t="n"/>
      <c r="R109" s="65" t="n"/>
      <c r="S109" s="66" t="n">
        <v>1200</v>
      </c>
      <c r="T109" s="63" t="n">
        <v>250</v>
      </c>
      <c r="U109" s="63" t="n"/>
      <c r="V109" s="97" t="n">
        <v>0</v>
      </c>
      <c r="W109" s="68" t="n">
        <v>396000</v>
      </c>
      <c r="X109" s="98" t="n">
        <v>1</v>
      </c>
      <c r="Z109" t="n">
        <v>0</v>
      </c>
      <c r="AA109" t="n">
        <v>0</v>
      </c>
    </row>
    <row r="110" ht="24.95" customHeight="1">
      <c r="A110" s="99" t="inlineStr">
        <is>
          <t>3</t>
        </is>
      </c>
      <c r="B110" s="100" t="inlineStr">
        <is>
          <t>Ống gió mềm kèm bảo ôn D300</t>
        </is>
      </c>
      <c r="C110" s="101" t="inlineStr">
        <is>
          <t>Ống mềm có bảo ôn</t>
        </is>
      </c>
      <c r="D110" s="102" t="inlineStr">
        <is>
          <t>Kaiyo Việt Nam</t>
        </is>
      </c>
      <c r="E110" s="103" t="inlineStr">
        <is>
          <t>ống</t>
        </is>
      </c>
      <c r="F110" s="104" t="n">
        <v>69</v>
      </c>
      <c r="G110" s="105" t="n">
        <v>468000</v>
      </c>
      <c r="H110" s="105" t="n">
        <v>32292000</v>
      </c>
      <c r="I110" s="106" t="inlineStr">
        <is>
          <t>1 ống =8 m | Tự quy đổi ống sang m, làm tròn lên nguyên ống</t>
        </is>
      </c>
      <c r="J110" s="153" t="n"/>
      <c r="K110" s="107" t="inlineStr">
        <is>
          <t>Ống gió mềm kèm bảo ôn D300</t>
        </is>
      </c>
      <c r="L110" s="108" t="inlineStr">
        <is>
          <t>t</t>
        </is>
      </c>
      <c r="M110" s="108" t="n">
        <v>300</v>
      </c>
      <c r="N110" s="108" t="n">
        <v>300</v>
      </c>
      <c r="O110" s="63" t="n"/>
      <c r="P110" s="63" t="n"/>
      <c r="Q110" s="64" t="n"/>
      <c r="R110" s="65" t="n"/>
      <c r="S110" s="66" t="n">
        <v>1200</v>
      </c>
      <c r="T110" s="63" t="n">
        <v>300</v>
      </c>
      <c r="U110" s="63" t="n"/>
      <c r="V110" s="97" t="n">
        <v>0</v>
      </c>
      <c r="W110" s="68" t="n">
        <v>468000</v>
      </c>
      <c r="X110" s="98" t="n">
        <v>1</v>
      </c>
      <c r="Z110" t="n">
        <v>0</v>
      </c>
      <c r="AA110" t="n">
        <v>0</v>
      </c>
    </row>
    <row r="111" ht="24.95" customHeight="1">
      <c r="A111" s="99" t="inlineStr">
        <is>
          <t>4</t>
        </is>
      </c>
      <c r="B111" s="100" t="inlineStr">
        <is>
          <t>Hộp gió cấp/hồi cho dàn lạnh</t>
        </is>
      </c>
      <c r="C111" s="101" t="n"/>
      <c r="D111" s="102" t="n"/>
      <c r="E111" s="103" t="inlineStr">
        <is>
          <t>bộ</t>
        </is>
      </c>
      <c r="F111" s="104" t="n">
        <v>170</v>
      </c>
      <c r="G111" s="105" t="n"/>
      <c r="H111" s="105" t="n">
        <v>0</v>
      </c>
      <c r="I111" s="106" t="n"/>
      <c r="K111" s="107" t="inlineStr">
        <is>
          <t>Hộp gió cấp/hồi cho dàn lạnh</t>
        </is>
      </c>
      <c r="L111" s="108" t="inlineStr">
        <is>
          <t>tb</t>
        </is>
      </c>
      <c r="M111" s="108" t="n"/>
      <c r="N111" s="108" t="n"/>
      <c r="O111" s="63" t="n"/>
      <c r="P111" s="63" t="n"/>
      <c r="Q111" s="64" t="n"/>
      <c r="R111" s="65" t="n"/>
      <c r="S111" s="66" t="n">
        <v>1200</v>
      </c>
      <c r="T111" s="63" t="n"/>
      <c r="U111" s="63" t="n"/>
      <c r="V111" s="97" t="n">
        <v>0</v>
      </c>
      <c r="W111" s="68" t="n">
        <v>0</v>
      </c>
      <c r="X111" s="98" t="n">
        <v>1.2</v>
      </c>
      <c r="Z111" t="n">
        <v>0</v>
      </c>
      <c r="AA111" t="n">
        <v>0</v>
      </c>
    </row>
    <row r="112" ht="24.95" customHeight="1">
      <c r="A112" s="99" t="inlineStr">
        <is>
          <t>5</t>
        </is>
      </c>
      <c r="B112" s="100" t="inlineStr">
        <is>
          <t>Giá đỡ ống gió</t>
        </is>
      </c>
      <c r="C112" s="101" t="n"/>
      <c r="D112" s="102" t="n"/>
      <c r="E112" s="103" t="inlineStr">
        <is>
          <t>lô</t>
        </is>
      </c>
      <c r="F112" s="104" t="n">
        <v>1</v>
      </c>
      <c r="G112" s="105" t="n"/>
      <c r="H112" s="105" t="n">
        <v>0</v>
      </c>
      <c r="I112" s="106" t="n"/>
      <c r="K112" s="107" t="inlineStr">
        <is>
          <t>Giá đỡ ống gió</t>
        </is>
      </c>
      <c r="L112" s="108" t="inlineStr">
        <is>
          <t>t</t>
        </is>
      </c>
      <c r="M112" s="108" t="n"/>
      <c r="N112" s="108" t="n"/>
      <c r="O112" s="63" t="n"/>
      <c r="P112" s="63" t="n"/>
      <c r="Q112" s="64" t="n"/>
      <c r="R112" s="65" t="n"/>
      <c r="S112" s="66" t="n">
        <v>1200</v>
      </c>
      <c r="T112" s="63" t="n"/>
      <c r="U112" s="63" t="n"/>
      <c r="V112" s="97" t="n">
        <v>0</v>
      </c>
      <c r="W112" s="68" t="n">
        <v>0</v>
      </c>
      <c r="X112" s="98" t="n">
        <v>1</v>
      </c>
      <c r="Z112" t="n">
        <v>0</v>
      </c>
      <c r="AA112" t="n">
        <v>0</v>
      </c>
    </row>
    <row r="113" ht="24.95" customHeight="1">
      <c r="A113" s="99" t="inlineStr">
        <is>
          <t>6</t>
        </is>
      </c>
      <c r="B113" s="100" t="inlineStr">
        <is>
          <t>Vật tư phụ</t>
        </is>
      </c>
      <c r="C113" s="101" t="n"/>
      <c r="D113" s="102" t="n"/>
      <c r="E113" s="103" t="inlineStr">
        <is>
          <t>lô</t>
        </is>
      </c>
      <c r="F113" s="104" t="n">
        <v>1</v>
      </c>
      <c r="G113" s="105" t="n"/>
      <c r="H113" s="105" t="n">
        <v>0</v>
      </c>
      <c r="I113" s="106" t="n"/>
      <c r="K113" s="107" t="inlineStr">
        <is>
          <t>Vật tư phụ</t>
        </is>
      </c>
      <c r="L113" s="108" t="inlineStr"/>
      <c r="M113" s="108" t="n"/>
      <c r="N113" s="108" t="n"/>
      <c r="O113" s="63" t="n"/>
      <c r="P113" s="63" t="n"/>
      <c r="Q113" s="64" t="n"/>
      <c r="R113" s="65" t="n"/>
      <c r="S113" s="66" t="n">
        <v>1200</v>
      </c>
      <c r="T113" s="63" t="n"/>
      <c r="U113" s="63" t="n"/>
      <c r="V113" s="97" t="n">
        <v>0</v>
      </c>
      <c r="W113" s="68" t="n">
        <v>0</v>
      </c>
      <c r="X113" s="98" t="n">
        <v>0</v>
      </c>
      <c r="Z113" t="n">
        <v>0</v>
      </c>
      <c r="AA113" t="n">
        <v>0</v>
      </c>
    </row>
    <row r="114" ht="24.95" customHeight="1">
      <c r="A114" s="151" t="inlineStr">
        <is>
          <t>VII</t>
        </is>
      </c>
      <c r="B114" s="152" t="inlineStr">
        <is>
          <t>Ống gió cấp gió tươi</t>
        </is>
      </c>
      <c r="C114" s="101" t="n"/>
      <c r="D114" s="102" t="n"/>
      <c r="E114" s="103" t="n"/>
      <c r="F114" s="104" t="n">
        <v>0</v>
      </c>
      <c r="G114" s="105" t="n"/>
      <c r="H114" s="105">
        <f>G114*F114</f>
        <v/>
      </c>
      <c r="I114" s="106" t="n"/>
      <c r="K114" s="107">
        <f>+B114</f>
        <v/>
      </c>
      <c r="L114" s="108" t="n"/>
      <c r="M114" s="108" t="n"/>
      <c r="N114" s="108" t="n"/>
      <c r="O114" s="63" t="n"/>
      <c r="P114" s="63" t="n"/>
      <c r="Q114" s="64" t="n"/>
      <c r="R114" s="65" t="n"/>
      <c r="S114" s="66" t="n"/>
      <c r="T114" s="63" t="n"/>
      <c r="U114" s="63" t="n"/>
      <c r="V114" s="97">
        <f>(IF(OR(L114="t",L114="TA",),(M114+N114)*2/1000*S114/1000,(IF(OR(L114="F",L114="M"),(M114*N114),IF(L114="d",(M114+N114+U114/1/2)*2*S114,IF(L114="tb",((M114+N114)*2*S114+M114*N114),IF(OR(L114="g",L114="n"),((M114+O114)*SQRT((S114)^2+((N114-P114)/2)^2)+(N114+P114)*SQRT((S114)^2+((M114-O114)/2)^2)),IF(LEFT(L114,1)="c",(2*(PI()*((M114+T114)^2-T114^2)+N114*(PI()*(M114+T114)+PI()*T114))*(U114/360)),IF(LEFT(L114,2)="vt",((M114+O114)*SQRT((S114)^2+((N114-P114)/2)^2)+(N114+P114)*SQRT((S114)^2+((M114-O114)/2)^2)+((T114+200)^2-(T114/2)^2*3.14)),IF(L114="tt",(2*(M114+N114)*(S114-1.5*O114)+(PI()*(3*O114+2/3*M114)*(O114+2/3*M114+P114+N114)-(P114+N114)*(PI()*1.5*O114))/8+(PI()*(3*Q114+2/3*M114)*(Q114+2/3*M114+R114+N114)-(R114+N114)*(PI()*1.5*Q114))/8),0))))))))/10^6))</f>
        <v/>
      </c>
      <c r="W114" s="68" t="n"/>
      <c r="X114" s="98" t="n"/>
    </row>
    <row r="115" ht="24.95" customHeight="1">
      <c r="A115" s="99" t="inlineStr">
        <is>
          <t>1</t>
        </is>
      </c>
      <c r="B115" s="100" t="inlineStr">
        <is>
          <t>Tiêu âm đầu quạt</t>
        </is>
      </c>
      <c r="C115" s="101" t="n"/>
      <c r="D115" s="102" t="n"/>
      <c r="E115" s="103" t="inlineStr">
        <is>
          <t>Bộ</t>
        </is>
      </c>
      <c r="F115" s="104" t="n">
        <v>16</v>
      </c>
      <c r="G115" s="105" t="n"/>
      <c r="H115" s="105" t="n">
        <v>0</v>
      </c>
      <c r="I115" s="106" t="n"/>
      <c r="K115" s="107" t="inlineStr">
        <is>
          <t>Tiêu âm đầu quạt</t>
        </is>
      </c>
      <c r="L115" s="108" t="inlineStr"/>
      <c r="M115" s="108" t="n"/>
      <c r="N115" s="108" t="n"/>
      <c r="O115" s="63" t="n"/>
      <c r="P115" s="63" t="n"/>
      <c r="Q115" s="64" t="n"/>
      <c r="R115" s="65" t="n"/>
      <c r="S115" s="66" t="n">
        <v>1200</v>
      </c>
      <c r="T115" s="63" t="n"/>
      <c r="U115" s="63" t="n"/>
      <c r="V115" s="97" t="n">
        <v>0</v>
      </c>
      <c r="W115" s="68" t="n">
        <v>0</v>
      </c>
      <c r="X115" s="98" t="n">
        <v>1</v>
      </c>
      <c r="Z115" t="n">
        <v>0</v>
      </c>
      <c r="AA115" t="n">
        <v>0</v>
      </c>
    </row>
    <row r="116" ht="24.95" customHeight="1">
      <c r="A116" s="99" t="inlineStr">
        <is>
          <t>2</t>
        </is>
      </c>
      <c r="B116" s="100" t="inlineStr">
        <is>
          <t>Ống gió tôn tráng kẽm KT400x200</t>
        </is>
      </c>
      <c r="C116" s="154" t="inlineStr">
        <is>
          <t>Tôn mạ kẽm dày 0.58 mm</t>
        </is>
      </c>
      <c r="D116" s="102" t="inlineStr">
        <is>
          <t>Kaiyo Việt Nam</t>
        </is>
      </c>
      <c r="E116" s="103" t="inlineStr">
        <is>
          <t>m</t>
        </is>
      </c>
      <c r="F116" s="156" t="n">
        <v>60</v>
      </c>
      <c r="G116" s="105" t="n">
        <v>210000</v>
      </c>
      <c r="H116" s="105" t="n">
        <v>12600000</v>
      </c>
      <c r="I116" s="106" t="inlineStr"/>
      <c r="K116" s="107" t="inlineStr">
        <is>
          <t>Ống gió tôn tráng kẽm KT400x200</t>
        </is>
      </c>
      <c r="L116" s="108" t="inlineStr">
        <is>
          <t>t</t>
        </is>
      </c>
      <c r="M116" s="108" t="n">
        <v>400</v>
      </c>
      <c r="N116" s="108" t="n">
        <v>200</v>
      </c>
      <c r="O116" s="63" t="n"/>
      <c r="P116" s="63" t="n"/>
      <c r="Q116" s="64" t="n"/>
      <c r="R116" s="65" t="n"/>
      <c r="S116" s="66" t="n">
        <v>1200</v>
      </c>
      <c r="T116" s="63" t="n"/>
      <c r="U116" s="63" t="n"/>
      <c r="V116" s="97" t="n">
        <v>1.44</v>
      </c>
      <c r="W116" s="68" t="n">
        <v>210000</v>
      </c>
      <c r="X116" s="98" t="n">
        <v>1</v>
      </c>
      <c r="Z116" t="n">
        <v>0</v>
      </c>
      <c r="AA116" t="n">
        <v>0</v>
      </c>
    </row>
    <row r="117" ht="24.95" customHeight="1">
      <c r="A117" s="99" t="inlineStr">
        <is>
          <t>3</t>
        </is>
      </c>
      <c r="B117" s="100" t="inlineStr">
        <is>
          <t>Ống gió tôn tráng kẽm KT300x200</t>
        </is>
      </c>
      <c r="C117" s="154" t="inlineStr">
        <is>
          <t>Tôn mạ kẽm dày 0.58 mm</t>
        </is>
      </c>
      <c r="D117" s="102" t="inlineStr">
        <is>
          <t>Kaiyo Việt Nam</t>
        </is>
      </c>
      <c r="E117" s="103" t="inlineStr">
        <is>
          <t>m</t>
        </is>
      </c>
      <c r="F117" s="156" t="n">
        <v>144</v>
      </c>
      <c r="G117" s="105" t="n">
        <v>175000</v>
      </c>
      <c r="H117" s="105" t="n">
        <v>25200000</v>
      </c>
      <c r="I117" s="106" t="inlineStr"/>
      <c r="K117" s="107" t="inlineStr">
        <is>
          <t>Ống gió tôn tráng kẽm KT300x200</t>
        </is>
      </c>
      <c r="L117" s="108" t="inlineStr">
        <is>
          <t>t</t>
        </is>
      </c>
      <c r="M117" s="108" t="n">
        <v>300</v>
      </c>
      <c r="N117" s="108" t="n">
        <v>200</v>
      </c>
      <c r="O117" s="63" t="n"/>
      <c r="P117" s="63" t="n"/>
      <c r="Q117" s="64" t="n"/>
      <c r="R117" s="65" t="n"/>
      <c r="S117" s="66" t="n">
        <v>1200</v>
      </c>
      <c r="T117" s="63" t="n"/>
      <c r="U117" s="63" t="n"/>
      <c r="V117" s="97" t="n">
        <v>1.2</v>
      </c>
      <c r="W117" s="68" t="n">
        <v>175000</v>
      </c>
      <c r="X117" s="98" t="n">
        <v>1</v>
      </c>
      <c r="Z117" t="n">
        <v>0</v>
      </c>
      <c r="AA117" t="n">
        <v>0</v>
      </c>
    </row>
    <row r="118" ht="24.95" customHeight="1">
      <c r="A118" s="99" t="inlineStr">
        <is>
          <t>4</t>
        </is>
      </c>
      <c r="B118" s="100" t="inlineStr">
        <is>
          <t>Ống gió tôn tráng kẽm KT200x200</t>
        </is>
      </c>
      <c r="C118" s="154" t="inlineStr">
        <is>
          <t>Tôn mạ kẽm dày 0.58 mm</t>
        </is>
      </c>
      <c r="D118" s="102" t="inlineStr">
        <is>
          <t>Kaiyo Việt Nam</t>
        </is>
      </c>
      <c r="E118" s="103" t="inlineStr">
        <is>
          <t>m</t>
        </is>
      </c>
      <c r="F118" s="156" t="n">
        <v>40</v>
      </c>
      <c r="G118" s="105" t="n">
        <v>140000</v>
      </c>
      <c r="H118" s="105" t="n">
        <v>5600000</v>
      </c>
      <c r="I118" s="106" t="inlineStr"/>
      <c r="K118" s="107" t="inlineStr">
        <is>
          <t>Ống gió tôn tráng kẽm KT200x200</t>
        </is>
      </c>
      <c r="L118" s="108" t="inlineStr">
        <is>
          <t>t</t>
        </is>
      </c>
      <c r="M118" s="108" t="n">
        <v>200</v>
      </c>
      <c r="N118" s="108" t="n">
        <v>200</v>
      </c>
      <c r="O118" s="63" t="n"/>
      <c r="P118" s="63" t="n"/>
      <c r="Q118" s="64" t="n"/>
      <c r="R118" s="65" t="n"/>
      <c r="S118" s="66" t="n">
        <v>1200</v>
      </c>
      <c r="T118" s="63" t="n"/>
      <c r="U118" s="63" t="n"/>
      <c r="V118" s="97" t="n">
        <v>0.96</v>
      </c>
      <c r="W118" s="68" t="n">
        <v>140000</v>
      </c>
      <c r="X118" s="98" t="n">
        <v>1</v>
      </c>
      <c r="Z118" t="n">
        <v>0</v>
      </c>
      <c r="AA118" t="n">
        <v>0</v>
      </c>
    </row>
    <row r="119" ht="24.95" customHeight="1">
      <c r="A119" s="99" t="inlineStr">
        <is>
          <t>5</t>
        </is>
      </c>
      <c r="B119" s="100" t="inlineStr">
        <is>
          <t>Ống gió tôn tráng kẽm KT150x100</t>
        </is>
      </c>
      <c r="C119" s="154" t="inlineStr">
        <is>
          <t>Tôn mạ kẽm dày 0.58 mm</t>
        </is>
      </c>
      <c r="D119" s="102" t="inlineStr">
        <is>
          <t>Kaiyo Việt Nam</t>
        </is>
      </c>
      <c r="E119" s="103" t="inlineStr">
        <is>
          <t>m</t>
        </is>
      </c>
      <c r="F119" s="156" t="n">
        <v>110.4</v>
      </c>
      <c r="G119" s="105" t="n">
        <v>87500</v>
      </c>
      <c r="H119" s="105" t="n">
        <v>9660000</v>
      </c>
      <c r="I119" s="106" t="inlineStr"/>
      <c r="K119" s="107" t="inlineStr">
        <is>
          <t>Ống gió tôn tráng kẽm KT150x100</t>
        </is>
      </c>
      <c r="L119" s="108" t="inlineStr">
        <is>
          <t>t</t>
        </is>
      </c>
      <c r="M119" s="108" t="n">
        <v>150</v>
      </c>
      <c r="N119" s="108" t="n">
        <v>100</v>
      </c>
      <c r="O119" s="63" t="n"/>
      <c r="P119" s="63" t="n"/>
      <c r="Q119" s="64" t="n"/>
      <c r="R119" s="65" t="n"/>
      <c r="S119" s="66" t="n">
        <v>1200</v>
      </c>
      <c r="T119" s="63" t="n"/>
      <c r="U119" s="63" t="n"/>
      <c r="V119" s="97" t="n">
        <v>0.6</v>
      </c>
      <c r="W119" s="68" t="n">
        <v>87500</v>
      </c>
      <c r="X119" s="98" t="n">
        <v>1</v>
      </c>
      <c r="Z119" t="n">
        <v>0</v>
      </c>
      <c r="AA119" t="n">
        <v>0</v>
      </c>
    </row>
    <row r="120" ht="24.95" customHeight="1">
      <c r="A120" s="99" t="inlineStr">
        <is>
          <t>6</t>
        </is>
      </c>
      <c r="B120" s="100" t="inlineStr">
        <is>
          <t>Ống gió tôn tráng kẽm KT100x100</t>
        </is>
      </c>
      <c r="C120" s="154" t="inlineStr">
        <is>
          <t>Tôn mạ kẽm dày 0.58 mm</t>
        </is>
      </c>
      <c r="D120" s="102" t="inlineStr">
        <is>
          <t>Kaiyo Việt Nam</t>
        </is>
      </c>
      <c r="E120" s="103" t="inlineStr">
        <is>
          <t>m</t>
        </is>
      </c>
      <c r="F120" s="156" t="n">
        <v>20</v>
      </c>
      <c r="G120" s="105" t="n">
        <v>70000</v>
      </c>
      <c r="H120" s="105" t="n">
        <v>1400000</v>
      </c>
      <c r="I120" s="106" t="inlineStr"/>
      <c r="K120" s="107" t="inlineStr">
        <is>
          <t>Ống gió tôn tráng kẽm KT100x100</t>
        </is>
      </c>
      <c r="L120" s="108" t="inlineStr">
        <is>
          <t>t</t>
        </is>
      </c>
      <c r="M120" s="108" t="n">
        <v>100</v>
      </c>
      <c r="N120" s="108" t="n">
        <v>100</v>
      </c>
      <c r="O120" s="63" t="n"/>
      <c r="P120" s="63" t="n"/>
      <c r="Q120" s="64" t="n"/>
      <c r="R120" s="65" t="n"/>
      <c r="S120" s="66" t="n">
        <v>1200</v>
      </c>
      <c r="T120" s="63" t="n"/>
      <c r="U120" s="63" t="n"/>
      <c r="V120" s="97" t="n">
        <v>0.48</v>
      </c>
      <c r="W120" s="68" t="n">
        <v>70000</v>
      </c>
      <c r="X120" s="98" t="n">
        <v>1</v>
      </c>
      <c r="Z120" t="n">
        <v>0</v>
      </c>
      <c r="AA120" t="n">
        <v>0</v>
      </c>
    </row>
    <row r="121" ht="24.95" customHeight="1">
      <c r="A121" s="99" t="inlineStr">
        <is>
          <t>7</t>
        </is>
      </c>
      <c r="B121" s="100" t="inlineStr">
        <is>
          <t>Phụ kiện ống gió</t>
        </is>
      </c>
      <c r="C121" s="101" t="n"/>
      <c r="D121" s="102" t="n"/>
      <c r="E121" s="103" t="inlineStr">
        <is>
          <t>lô</t>
        </is>
      </c>
      <c r="F121" s="104" t="n">
        <v>1</v>
      </c>
      <c r="G121" s="105" t="n"/>
      <c r="H121" s="105" t="n">
        <v>0</v>
      </c>
      <c r="I121" s="106" t="n"/>
      <c r="K121" s="107" t="inlineStr">
        <is>
          <t>Phụ kiện ống gió</t>
        </is>
      </c>
      <c r="L121" s="108" t="inlineStr">
        <is>
          <t>t</t>
        </is>
      </c>
      <c r="M121" s="108" t="n"/>
      <c r="N121" s="108" t="n"/>
      <c r="O121" s="63" t="n"/>
      <c r="P121" s="63" t="n"/>
      <c r="Q121" s="64" t="n"/>
      <c r="R121" s="65" t="n"/>
      <c r="S121" s="66" t="n">
        <v>1200</v>
      </c>
      <c r="T121" s="63" t="n"/>
      <c r="U121" s="63" t="n"/>
      <c r="V121" s="97" t="n">
        <v>0</v>
      </c>
      <c r="W121" s="68" t="n">
        <v>0</v>
      </c>
      <c r="X121" s="98" t="n">
        <v>1</v>
      </c>
      <c r="Z121" t="n">
        <v>0</v>
      </c>
      <c r="AA121" t="n">
        <v>0</v>
      </c>
    </row>
    <row r="122" ht="24.95" customHeight="1">
      <c r="A122" s="99" t="inlineStr">
        <is>
          <t>8</t>
        </is>
      </c>
      <c r="B122" s="100" t="inlineStr">
        <is>
          <t>Ống gió mềm không kèm bảo ôn D200</t>
        </is>
      </c>
      <c r="C122" s="101" t="inlineStr">
        <is>
          <t>Ống mềm không có bảo ôn</t>
        </is>
      </c>
      <c r="D122" s="102" t="inlineStr">
        <is>
          <t>Kaiyo Việt Nam</t>
        </is>
      </c>
      <c r="E122" s="103" t="inlineStr">
        <is>
          <t>ống</t>
        </is>
      </c>
      <c r="F122" s="104" t="n">
        <v>24</v>
      </c>
      <c r="G122" s="105" t="n">
        <v>120000</v>
      </c>
      <c r="H122" s="105" t="n">
        <v>2880000</v>
      </c>
      <c r="I122" s="106" t="inlineStr">
        <is>
          <t>1 ống =8 m | Tự quy đổi ống sang m, làm tròn lên nguyên ống</t>
        </is>
      </c>
      <c r="K122" s="107" t="inlineStr">
        <is>
          <t>Ống gió mềm không kèm bảo ôn D200</t>
        </is>
      </c>
      <c r="L122" s="108" t="inlineStr">
        <is>
          <t>t</t>
        </is>
      </c>
      <c r="M122" s="108" t="n">
        <v>200</v>
      </c>
      <c r="N122" s="108" t="n">
        <v>200</v>
      </c>
      <c r="O122" s="63" t="n"/>
      <c r="P122" s="63" t="n"/>
      <c r="Q122" s="64" t="n"/>
      <c r="R122" s="65" t="n"/>
      <c r="S122" s="66" t="n">
        <v>1200</v>
      </c>
      <c r="T122" s="63" t="n">
        <v>200</v>
      </c>
      <c r="U122" s="63" t="n"/>
      <c r="V122" s="97" t="n">
        <v>0</v>
      </c>
      <c r="W122" s="68" t="n">
        <v>120000</v>
      </c>
      <c r="X122" s="98" t="n">
        <v>1</v>
      </c>
      <c r="Z122" t="n">
        <v>0</v>
      </c>
      <c r="AA122" t="n">
        <v>0</v>
      </c>
    </row>
    <row r="123" ht="24.95" customHeight="1">
      <c r="A123" s="99" t="inlineStr">
        <is>
          <t>9</t>
        </is>
      </c>
      <c r="B123" s="100" t="inlineStr">
        <is>
          <t>Giá đỡ ống gió</t>
        </is>
      </c>
      <c r="C123" s="101" t="n"/>
      <c r="D123" s="102" t="n"/>
      <c r="E123" s="103" t="inlineStr">
        <is>
          <t>lô</t>
        </is>
      </c>
      <c r="F123" s="104" t="n">
        <v>1</v>
      </c>
      <c r="G123" s="105" t="n"/>
      <c r="H123" s="105" t="n">
        <v>0</v>
      </c>
      <c r="I123" s="106" t="n"/>
      <c r="K123" s="107" t="inlineStr">
        <is>
          <t>Giá đỡ ống gió</t>
        </is>
      </c>
      <c r="L123" s="108" t="inlineStr">
        <is>
          <t>t</t>
        </is>
      </c>
      <c r="M123" s="108" t="n"/>
      <c r="N123" s="108" t="n"/>
      <c r="O123" s="63" t="n"/>
      <c r="P123" s="63" t="n"/>
      <c r="Q123" s="64" t="n"/>
      <c r="R123" s="65" t="n"/>
      <c r="S123" s="66" t="n">
        <v>1200</v>
      </c>
      <c r="T123" s="63" t="n"/>
      <c r="U123" s="63" t="n"/>
      <c r="V123" s="97" t="n">
        <v>0</v>
      </c>
      <c r="W123" s="68" t="n">
        <v>0</v>
      </c>
      <c r="X123" s="98" t="n">
        <v>1</v>
      </c>
      <c r="Z123" t="n">
        <v>0</v>
      </c>
      <c r="AA123" t="n">
        <v>0</v>
      </c>
    </row>
    <row r="124" ht="24.95" customHeight="1">
      <c r="A124" s="99" t="inlineStr">
        <is>
          <t>10</t>
        </is>
      </c>
      <c r="B124" s="100" t="inlineStr">
        <is>
          <t>Vật tư phụ</t>
        </is>
      </c>
      <c r="C124" s="101" t="n"/>
      <c r="D124" s="102" t="n"/>
      <c r="E124" s="103" t="inlineStr">
        <is>
          <t>lô</t>
        </is>
      </c>
      <c r="F124" s="104" t="n">
        <v>1</v>
      </c>
      <c r="G124" s="105" t="n"/>
      <c r="H124" s="105" t="n">
        <v>0</v>
      </c>
      <c r="I124" s="106" t="n"/>
      <c r="K124" s="107" t="inlineStr">
        <is>
          <t>Vật tư phụ</t>
        </is>
      </c>
      <c r="L124" s="108" t="inlineStr"/>
      <c r="M124" s="108" t="n"/>
      <c r="N124" s="108" t="n"/>
      <c r="O124" s="63" t="n"/>
      <c r="P124" s="63" t="n"/>
      <c r="Q124" s="64" t="n"/>
      <c r="R124" s="65" t="n"/>
      <c r="S124" s="66" t="n">
        <v>1200</v>
      </c>
      <c r="T124" s="63" t="n"/>
      <c r="U124" s="63" t="n"/>
      <c r="V124" s="97" t="n">
        <v>0</v>
      </c>
      <c r="W124" s="68" t="n">
        <v>0</v>
      </c>
      <c r="X124" s="98" t="n">
        <v>0</v>
      </c>
      <c r="Z124" t="n">
        <v>0</v>
      </c>
      <c r="AA124" t="n">
        <v>0</v>
      </c>
    </row>
    <row r="125" ht="24.95" customHeight="1">
      <c r="A125" s="151" t="inlineStr">
        <is>
          <t>VIII</t>
        </is>
      </c>
      <c r="B125" s="152" t="inlineStr">
        <is>
          <t>Ống gió hút khí thải</t>
        </is>
      </c>
      <c r="C125" s="101" t="n"/>
      <c r="D125" s="102" t="n"/>
      <c r="E125" s="103" t="n"/>
      <c r="F125" s="104" t="n">
        <v>0</v>
      </c>
      <c r="G125" s="105" t="n"/>
      <c r="H125" s="105">
        <f>G125*F125</f>
        <v/>
      </c>
      <c r="I125" s="106" t="n"/>
      <c r="K125" s="107">
        <f>+B125</f>
        <v/>
      </c>
      <c r="L125" s="108" t="n"/>
      <c r="M125" s="108" t="n"/>
      <c r="N125" s="108" t="n"/>
      <c r="O125" s="63" t="n"/>
      <c r="P125" s="63" t="n"/>
      <c r="Q125" s="64" t="n"/>
      <c r="R125" s="65" t="n"/>
      <c r="S125" s="66" t="n"/>
      <c r="T125" s="63" t="n"/>
      <c r="U125" s="63" t="n"/>
      <c r="V125" s="97">
        <f>(IF(OR(L125="t",L125="TA",),(M125+N125)*2/1000*S125/1000,(IF(OR(L125="F",L125="M"),(M125*N125),IF(L125="d",(M125+N125+U125/1/2)*2*S125,IF(L125="tb",((M125+N125)*2*S125+M125*N125),IF(OR(L125="g",L125="n"),((M125+O125)*SQRT((S125)^2+((N125-P125)/2)^2)+(N125+P125)*SQRT((S125)^2+((M125-O125)/2)^2)),IF(LEFT(L125,1)="c",(2*(PI()*((M125+T125)^2-T125^2)+N125*(PI()*(M125+T125)+PI()*T125))*(U125/360)),IF(LEFT(L125,2)="vt",((M125+O125)*SQRT((S125)^2+((N125-P125)/2)^2)+(N125+P125)*SQRT((S125)^2+((M125-O125)/2)^2)+((T125+200)^2-(T125/2)^2*3.14)),IF(L125="tt",(2*(M125+N125)*(S125-1.5*O125)+(PI()*(3*O125+2/3*M125)*(O125+2/3*M125+P125+N125)-(P125+N125)*(PI()*1.5*O125))/8+(PI()*(3*Q125+2/3*M125)*(Q125+2/3*M125+R125+N125)-(R125+N125)*(PI()*1.5*Q125))/8),0))))))))/10^6))</f>
        <v/>
      </c>
      <c r="W125" s="68" t="n"/>
      <c r="X125" s="98" t="n"/>
    </row>
    <row r="126" ht="24.95" customHeight="1">
      <c r="A126" s="99" t="inlineStr">
        <is>
          <t>1</t>
        </is>
      </c>
      <c r="B126" s="100" t="inlineStr">
        <is>
          <t>Tiêu âm đầu quạt</t>
        </is>
      </c>
      <c r="C126" s="101" t="n"/>
      <c r="D126" s="102" t="n"/>
      <c r="E126" s="103" t="inlineStr">
        <is>
          <t>Bộ</t>
        </is>
      </c>
      <c r="F126" s="104" t="n">
        <v>16</v>
      </c>
      <c r="G126" s="105" t="n"/>
      <c r="H126" s="105" t="n">
        <v>0</v>
      </c>
      <c r="I126" s="106" t="n"/>
      <c r="K126" s="107" t="inlineStr">
        <is>
          <t>Tiêu âm đầu quạt</t>
        </is>
      </c>
      <c r="L126" s="108" t="inlineStr"/>
      <c r="M126" s="108" t="n"/>
      <c r="N126" s="108" t="n"/>
      <c r="O126" s="63" t="n"/>
      <c r="P126" s="63" t="n"/>
      <c r="Q126" s="64" t="n"/>
      <c r="R126" s="65" t="n"/>
      <c r="S126" s="66" t="n">
        <v>1200</v>
      </c>
      <c r="T126" s="63" t="n"/>
      <c r="U126" s="63" t="n"/>
      <c r="V126" s="97" t="n">
        <v>0</v>
      </c>
      <c r="W126" s="68" t="n">
        <v>0</v>
      </c>
      <c r="X126" s="98" t="n">
        <v>1</v>
      </c>
      <c r="Z126" t="n">
        <v>0</v>
      </c>
      <c r="AA126" t="n">
        <v>0</v>
      </c>
    </row>
    <row r="127" ht="24.95" customHeight="1">
      <c r="A127" s="99" t="inlineStr">
        <is>
          <t>2</t>
        </is>
      </c>
      <c r="B127" s="100" t="inlineStr">
        <is>
          <t>Ống gió tôn tráng kẽm KT600x400</t>
        </is>
      </c>
      <c r="C127" s="101" t="inlineStr">
        <is>
          <t>Tôn mạ kẽm dày 0.58 mm</t>
        </is>
      </c>
      <c r="D127" s="102" t="inlineStr">
        <is>
          <t>Kaiyo Việt Nam</t>
        </is>
      </c>
      <c r="E127" s="103" t="inlineStr">
        <is>
          <t>m</t>
        </is>
      </c>
      <c r="F127" s="156" t="n">
        <v>6</v>
      </c>
      <c r="G127" s="105" t="n">
        <v>350000</v>
      </c>
      <c r="H127" s="105" t="n">
        <v>2100000</v>
      </c>
      <c r="I127" s="106" t="inlineStr"/>
      <c r="K127" s="107" t="inlineStr">
        <is>
          <t>Ống gió tôn tráng kẽm KT600x400</t>
        </is>
      </c>
      <c r="L127" s="108" t="inlineStr">
        <is>
          <t>t</t>
        </is>
      </c>
      <c r="M127" s="108" t="n">
        <v>600</v>
      </c>
      <c r="N127" s="108" t="n">
        <v>400</v>
      </c>
      <c r="O127" s="63" t="n"/>
      <c r="P127" s="63" t="n"/>
      <c r="Q127" s="64" t="n"/>
      <c r="R127" s="65" t="n"/>
      <c r="S127" s="66" t="n">
        <v>1200</v>
      </c>
      <c r="T127" s="63" t="n"/>
      <c r="U127" s="63" t="n"/>
      <c r="V127" s="97" t="n">
        <v>2.4</v>
      </c>
      <c r="W127" s="68" t="n">
        <v>350000</v>
      </c>
      <c r="X127" s="98" t="n">
        <v>1</v>
      </c>
      <c r="Z127" t="n">
        <v>0</v>
      </c>
      <c r="AA127" t="n">
        <v>0</v>
      </c>
    </row>
    <row r="128" ht="24.95" customHeight="1">
      <c r="A128" s="99" t="inlineStr">
        <is>
          <t>3</t>
        </is>
      </c>
      <c r="B128" s="100" t="inlineStr">
        <is>
          <t>Ống gió tôn tráng kẽm KT500x200</t>
        </is>
      </c>
      <c r="C128" s="101" t="inlineStr">
        <is>
          <t>Tôn mạ kẽm dày 0.58 mm</t>
        </is>
      </c>
      <c r="D128" s="102" t="inlineStr">
        <is>
          <t>Kaiyo Việt Nam</t>
        </is>
      </c>
      <c r="E128" s="103" t="inlineStr">
        <is>
          <t>m</t>
        </is>
      </c>
      <c r="F128" s="156" t="n">
        <v>18.1</v>
      </c>
      <c r="G128" s="105" t="n">
        <v>245000</v>
      </c>
      <c r="H128" s="105" t="n">
        <v>4434500</v>
      </c>
      <c r="I128" s="106" t="inlineStr"/>
      <c r="K128" s="107" t="inlineStr">
        <is>
          <t>Ống gió tôn tráng kẽm KT500x200</t>
        </is>
      </c>
      <c r="L128" s="108" t="inlineStr">
        <is>
          <t>t</t>
        </is>
      </c>
      <c r="M128" s="108" t="n">
        <v>500</v>
      </c>
      <c r="N128" s="108" t="n">
        <v>200</v>
      </c>
      <c r="O128" s="63" t="n"/>
      <c r="P128" s="63" t="n"/>
      <c r="Q128" s="64" t="n"/>
      <c r="R128" s="65" t="n"/>
      <c r="S128" s="66" t="n">
        <v>1200</v>
      </c>
      <c r="T128" s="63" t="n"/>
      <c r="U128" s="63" t="n"/>
      <c r="V128" s="97" t="n">
        <v>1.68</v>
      </c>
      <c r="W128" s="68" t="n">
        <v>245000</v>
      </c>
      <c r="X128" s="98" t="n">
        <v>1</v>
      </c>
      <c r="Z128" t="n">
        <v>0</v>
      </c>
      <c r="AA128" t="n">
        <v>0</v>
      </c>
    </row>
    <row r="129" ht="24.95" customHeight="1">
      <c r="A129" s="99" t="inlineStr">
        <is>
          <t>4</t>
        </is>
      </c>
      <c r="B129" s="100" t="inlineStr">
        <is>
          <t>Ống gió tôn tráng kẽm KT400x200</t>
        </is>
      </c>
      <c r="C129" s="101" t="inlineStr">
        <is>
          <t>Tôn mạ kẽm dày 0.58 mm</t>
        </is>
      </c>
      <c r="D129" s="102" t="inlineStr">
        <is>
          <t>Kaiyo Việt Nam</t>
        </is>
      </c>
      <c r="E129" s="103" t="inlineStr">
        <is>
          <t>m</t>
        </is>
      </c>
      <c r="F129" s="156" t="n">
        <v>61.6</v>
      </c>
      <c r="G129" s="105" t="n">
        <v>210000</v>
      </c>
      <c r="H129" s="105" t="n">
        <v>12936000</v>
      </c>
      <c r="I129" s="106" t="inlineStr"/>
      <c r="K129" s="107" t="inlineStr">
        <is>
          <t>Ống gió tôn tráng kẽm KT400x200</t>
        </is>
      </c>
      <c r="L129" s="108" t="inlineStr">
        <is>
          <t>t</t>
        </is>
      </c>
      <c r="M129" s="108" t="n">
        <v>400</v>
      </c>
      <c r="N129" s="108" t="n">
        <v>200</v>
      </c>
      <c r="O129" s="63" t="n"/>
      <c r="P129" s="63" t="n"/>
      <c r="Q129" s="64" t="n"/>
      <c r="R129" s="65" t="n"/>
      <c r="S129" s="66" t="n">
        <v>1200</v>
      </c>
      <c r="T129" s="63" t="n"/>
      <c r="U129" s="63" t="n"/>
      <c r="V129" s="97" t="n">
        <v>1.44</v>
      </c>
      <c r="W129" s="68" t="n">
        <v>210000</v>
      </c>
      <c r="X129" s="98" t="n">
        <v>1</v>
      </c>
      <c r="Z129" t="n">
        <v>0</v>
      </c>
      <c r="AA129" t="n">
        <v>0</v>
      </c>
    </row>
    <row r="130" ht="24.95" customHeight="1">
      <c r="A130" s="99" t="inlineStr">
        <is>
          <t>5</t>
        </is>
      </c>
      <c r="B130" s="100" t="inlineStr">
        <is>
          <t>Ống gió tôn tráng kẽm KT400x150</t>
        </is>
      </c>
      <c r="C130" s="101" t="inlineStr">
        <is>
          <t>Tôn mạ kẽm dày 0.58 mm</t>
        </is>
      </c>
      <c r="D130" s="102" t="inlineStr">
        <is>
          <t>Kaiyo Việt Nam</t>
        </is>
      </c>
      <c r="E130" s="103" t="inlineStr">
        <is>
          <t>m</t>
        </is>
      </c>
      <c r="F130" s="156" t="n">
        <v>1.8</v>
      </c>
      <c r="G130" s="105" t="n">
        <v>192500</v>
      </c>
      <c r="H130" s="105" t="n">
        <v>346500</v>
      </c>
      <c r="I130" s="106" t="inlineStr"/>
      <c r="K130" s="107" t="inlineStr">
        <is>
          <t>Ống gió tôn tráng kẽm KT400x150</t>
        </is>
      </c>
      <c r="L130" s="108" t="inlineStr">
        <is>
          <t>t</t>
        </is>
      </c>
      <c r="M130" s="108" t="n">
        <v>400</v>
      </c>
      <c r="N130" s="108" t="n">
        <v>150</v>
      </c>
      <c r="O130" s="63" t="n"/>
      <c r="P130" s="63" t="n"/>
      <c r="Q130" s="64" t="n"/>
      <c r="R130" s="65" t="n"/>
      <c r="S130" s="66" t="n">
        <v>1200</v>
      </c>
      <c r="T130" s="63" t="n"/>
      <c r="U130" s="63" t="n"/>
      <c r="V130" s="97" t="n">
        <v>1.32</v>
      </c>
      <c r="W130" s="68" t="n">
        <v>192500</v>
      </c>
      <c r="X130" s="98" t="n">
        <v>1</v>
      </c>
      <c r="Z130" t="n">
        <v>0</v>
      </c>
      <c r="AA130" t="n">
        <v>0</v>
      </c>
    </row>
    <row r="131" ht="24.95" customHeight="1">
      <c r="A131" s="99" t="inlineStr">
        <is>
          <t>6</t>
        </is>
      </c>
      <c r="B131" s="100" t="inlineStr">
        <is>
          <t>Ống gió tôn tráng kẽm KT300x200</t>
        </is>
      </c>
      <c r="C131" s="101" t="inlineStr">
        <is>
          <t>Tôn mạ kẽm dày 0.58 mm</t>
        </is>
      </c>
      <c r="D131" s="102" t="inlineStr">
        <is>
          <t>Kaiyo Việt Nam</t>
        </is>
      </c>
      <c r="E131" s="103" t="inlineStr">
        <is>
          <t>m</t>
        </is>
      </c>
      <c r="F131" s="156" t="n">
        <v>154.3</v>
      </c>
      <c r="G131" s="105" t="n">
        <v>175000</v>
      </c>
      <c r="H131" s="105" t="n">
        <v>27002500</v>
      </c>
      <c r="I131" s="106" t="inlineStr"/>
      <c r="K131" s="107" t="inlineStr">
        <is>
          <t>Ống gió tôn tráng kẽm KT300x200</t>
        </is>
      </c>
      <c r="L131" s="108" t="inlineStr">
        <is>
          <t>t</t>
        </is>
      </c>
      <c r="M131" s="108" t="n">
        <v>300</v>
      </c>
      <c r="N131" s="108" t="n">
        <v>200</v>
      </c>
      <c r="O131" s="63" t="n"/>
      <c r="P131" s="63" t="n"/>
      <c r="Q131" s="64" t="n"/>
      <c r="R131" s="65" t="n"/>
      <c r="S131" s="66" t="n">
        <v>1200</v>
      </c>
      <c r="T131" s="63" t="n"/>
      <c r="U131" s="63" t="n"/>
      <c r="V131" s="97" t="n">
        <v>1.2</v>
      </c>
      <c r="W131" s="68" t="n">
        <v>175000</v>
      </c>
      <c r="X131" s="98" t="n">
        <v>1</v>
      </c>
      <c r="Z131" t="n">
        <v>0</v>
      </c>
      <c r="AA131" t="n">
        <v>0</v>
      </c>
    </row>
    <row r="132" ht="24.95" customHeight="1">
      <c r="A132" s="99" t="inlineStr">
        <is>
          <t>7</t>
        </is>
      </c>
      <c r="B132" s="100" t="inlineStr">
        <is>
          <t>Ống gió tôn tráng kẽm KT200x200</t>
        </is>
      </c>
      <c r="C132" s="101" t="inlineStr">
        <is>
          <t>Tôn mạ kẽm dày 0.58 mm</t>
        </is>
      </c>
      <c r="D132" s="102" t="inlineStr">
        <is>
          <t>Kaiyo Việt Nam</t>
        </is>
      </c>
      <c r="E132" s="103" t="inlineStr">
        <is>
          <t>m</t>
        </is>
      </c>
      <c r="F132" s="156" t="n">
        <v>94.60000000000001</v>
      </c>
      <c r="G132" s="105" t="n">
        <v>140000</v>
      </c>
      <c r="H132" s="105" t="n">
        <v>13244000</v>
      </c>
      <c r="I132" s="106" t="inlineStr"/>
      <c r="K132" s="107" t="inlineStr">
        <is>
          <t>Ống gió tôn tráng kẽm KT200x200</t>
        </is>
      </c>
      <c r="L132" s="108" t="inlineStr">
        <is>
          <t>t</t>
        </is>
      </c>
      <c r="M132" s="108" t="n">
        <v>200</v>
      </c>
      <c r="N132" s="108" t="n">
        <v>200</v>
      </c>
      <c r="O132" s="63" t="n"/>
      <c r="P132" s="63" t="n"/>
      <c r="Q132" s="64" t="n"/>
      <c r="R132" s="65" t="n"/>
      <c r="S132" s="66" t="n">
        <v>1200</v>
      </c>
      <c r="T132" s="63" t="n"/>
      <c r="U132" s="63" t="n"/>
      <c r="V132" s="97" t="n">
        <v>0.96</v>
      </c>
      <c r="W132" s="68" t="n">
        <v>140000</v>
      </c>
      <c r="X132" s="98" t="n">
        <v>1</v>
      </c>
      <c r="Z132" t="n">
        <v>0</v>
      </c>
      <c r="AA132" t="n">
        <v>0</v>
      </c>
    </row>
    <row r="133" ht="24.95" customHeight="1">
      <c r="A133" s="99" t="inlineStr">
        <is>
          <t>8</t>
        </is>
      </c>
      <c r="B133" s="100" t="inlineStr">
        <is>
          <t>Ống gió tôn tráng kẽm KT200x150</t>
        </is>
      </c>
      <c r="C133" s="101" t="inlineStr">
        <is>
          <t>Tôn mạ kẽm dày 0.58 mm</t>
        </is>
      </c>
      <c r="D133" s="102" t="inlineStr">
        <is>
          <t>Kaiyo Việt Nam</t>
        </is>
      </c>
      <c r="E133" s="103" t="inlineStr">
        <is>
          <t>m</t>
        </is>
      </c>
      <c r="F133" s="156" t="n">
        <v>25.7</v>
      </c>
      <c r="G133" s="105" t="n">
        <v>122500</v>
      </c>
      <c r="H133" s="105" t="n">
        <v>3148250</v>
      </c>
      <c r="I133" s="106" t="inlineStr"/>
      <c r="K133" s="107" t="inlineStr">
        <is>
          <t>Ống gió tôn tráng kẽm KT200x150</t>
        </is>
      </c>
      <c r="L133" s="108" t="inlineStr">
        <is>
          <t>t</t>
        </is>
      </c>
      <c r="M133" s="108" t="n">
        <v>200</v>
      </c>
      <c r="N133" s="108" t="n">
        <v>150</v>
      </c>
      <c r="O133" s="63" t="n"/>
      <c r="P133" s="63" t="n"/>
      <c r="Q133" s="64" t="n"/>
      <c r="R133" s="65" t="n"/>
      <c r="S133" s="66" t="n">
        <v>1200</v>
      </c>
      <c r="T133" s="63" t="n"/>
      <c r="U133" s="63" t="n"/>
      <c r="V133" s="97" t="n">
        <v>0.84</v>
      </c>
      <c r="W133" s="68" t="n">
        <v>122500</v>
      </c>
      <c r="X133" s="98" t="n">
        <v>1</v>
      </c>
      <c r="Z133" t="n">
        <v>0</v>
      </c>
      <c r="AA133" t="n">
        <v>0</v>
      </c>
    </row>
    <row r="134" ht="24.95" customHeight="1">
      <c r="A134" s="99" t="inlineStr">
        <is>
          <t>9</t>
        </is>
      </c>
      <c r="B134" s="100" t="inlineStr">
        <is>
          <t>Ống gió tôn tráng kẽm KT150x100</t>
        </is>
      </c>
      <c r="C134" s="101" t="inlineStr">
        <is>
          <t>Tôn mạ kẽm dày 0.58 mm</t>
        </is>
      </c>
      <c r="D134" s="102" t="inlineStr">
        <is>
          <t>Kaiyo Việt Nam</t>
        </is>
      </c>
      <c r="E134" s="103" t="inlineStr">
        <is>
          <t>m</t>
        </is>
      </c>
      <c r="F134" s="156" t="n">
        <v>86.2</v>
      </c>
      <c r="G134" s="105" t="n">
        <v>87500</v>
      </c>
      <c r="H134" s="105" t="n">
        <v>7542500</v>
      </c>
      <c r="I134" s="106" t="inlineStr"/>
      <c r="K134" s="107" t="inlineStr">
        <is>
          <t>Ống gió tôn tráng kẽm KT150x100</t>
        </is>
      </c>
      <c r="L134" s="108" t="inlineStr">
        <is>
          <t>t</t>
        </is>
      </c>
      <c r="M134" s="108" t="n">
        <v>150</v>
      </c>
      <c r="N134" s="108" t="n">
        <v>100</v>
      </c>
      <c r="O134" s="63" t="n"/>
      <c r="P134" s="63" t="n"/>
      <c r="Q134" s="64" t="n"/>
      <c r="R134" s="65" t="n"/>
      <c r="S134" s="66" t="n">
        <v>1200</v>
      </c>
      <c r="T134" s="63" t="n"/>
      <c r="U134" s="63" t="n"/>
      <c r="V134" s="97" t="n">
        <v>0.6</v>
      </c>
      <c r="W134" s="68" t="n">
        <v>87500</v>
      </c>
      <c r="X134" s="98" t="n">
        <v>1</v>
      </c>
      <c r="Z134" t="n">
        <v>0</v>
      </c>
      <c r="AA134" t="n">
        <v>0</v>
      </c>
    </row>
    <row r="135" ht="24.95" customHeight="1">
      <c r="A135" s="99" t="inlineStr">
        <is>
          <t>10</t>
        </is>
      </c>
      <c r="B135" s="100" t="inlineStr">
        <is>
          <t>Ống gió tôn tráng kẽm KT100x100</t>
        </is>
      </c>
      <c r="C135" s="101" t="inlineStr">
        <is>
          <t>Tôn mạ kẽm dày 0.58 mm</t>
        </is>
      </c>
      <c r="D135" s="102" t="inlineStr">
        <is>
          <t>Kaiyo Việt Nam</t>
        </is>
      </c>
      <c r="E135" s="103" t="inlineStr">
        <is>
          <t>m</t>
        </is>
      </c>
      <c r="F135" s="156" t="n">
        <v>3.2</v>
      </c>
      <c r="G135" s="105" t="n">
        <v>70000</v>
      </c>
      <c r="H135" s="105" t="n">
        <v>224000</v>
      </c>
      <c r="I135" s="106" t="inlineStr"/>
      <c r="K135" s="107" t="inlineStr">
        <is>
          <t>Ống gió tôn tráng kẽm KT100x100</t>
        </is>
      </c>
      <c r="L135" s="108" t="inlineStr">
        <is>
          <t>t</t>
        </is>
      </c>
      <c r="M135" s="108" t="n">
        <v>100</v>
      </c>
      <c r="N135" s="108" t="n">
        <v>100</v>
      </c>
      <c r="O135" s="63" t="n"/>
      <c r="P135" s="63" t="n"/>
      <c r="Q135" s="64" t="n"/>
      <c r="R135" s="65" t="n"/>
      <c r="S135" s="66" t="n">
        <v>1200</v>
      </c>
      <c r="T135" s="63" t="n"/>
      <c r="U135" s="63" t="n"/>
      <c r="V135" s="97" t="n">
        <v>0.48</v>
      </c>
      <c r="W135" s="68" t="n">
        <v>70000</v>
      </c>
      <c r="X135" s="98" t="n">
        <v>1</v>
      </c>
      <c r="Z135" t="n">
        <v>0</v>
      </c>
      <c r="AA135" t="n">
        <v>0</v>
      </c>
    </row>
    <row r="136" ht="24.95" customHeight="1">
      <c r="A136" s="99" t="inlineStr">
        <is>
          <t>11</t>
        </is>
      </c>
      <c r="B136" s="100" t="inlineStr">
        <is>
          <t>Phụ kiện ống gió</t>
        </is>
      </c>
      <c r="C136" s="101" t="n"/>
      <c r="D136" s="102" t="n"/>
      <c r="E136" s="103" t="inlineStr">
        <is>
          <t>lô</t>
        </is>
      </c>
      <c r="F136" s="104" t="n">
        <v>1</v>
      </c>
      <c r="G136" s="105" t="n"/>
      <c r="H136" s="105" t="n">
        <v>0</v>
      </c>
      <c r="I136" s="106" t="n"/>
      <c r="K136" s="107" t="inlineStr">
        <is>
          <t>Phụ kiện ống gió</t>
        </is>
      </c>
      <c r="L136" s="108" t="inlineStr">
        <is>
          <t>t</t>
        </is>
      </c>
      <c r="M136" s="108" t="n"/>
      <c r="N136" s="108" t="n"/>
      <c r="O136" s="63" t="n"/>
      <c r="P136" s="63" t="n"/>
      <c r="Q136" s="64" t="n"/>
      <c r="R136" s="65" t="n"/>
      <c r="S136" s="66" t="n">
        <v>1200</v>
      </c>
      <c r="T136" s="63" t="n"/>
      <c r="U136" s="63" t="n"/>
      <c r="V136" s="97" t="n">
        <v>0</v>
      </c>
      <c r="W136" s="68" t="n">
        <v>0</v>
      </c>
      <c r="X136" s="98" t="n">
        <v>1</v>
      </c>
      <c r="Z136" t="n">
        <v>0</v>
      </c>
      <c r="AA136" t="n">
        <v>0</v>
      </c>
    </row>
    <row r="137" ht="24.95" customHeight="1">
      <c r="A137" s="99" t="inlineStr">
        <is>
          <t>12</t>
        </is>
      </c>
      <c r="B137" s="100" t="inlineStr">
        <is>
          <t>Ống gió mềm không kèm bảo ôn D100</t>
        </is>
      </c>
      <c r="C137" s="101" t="inlineStr">
        <is>
          <t>Ống mềm không có bảo ôn</t>
        </is>
      </c>
      <c r="D137" s="102" t="inlineStr">
        <is>
          <t>Kaiyo Việt Nam</t>
        </is>
      </c>
      <c r="E137" s="103" t="inlineStr">
        <is>
          <t>ống</t>
        </is>
      </c>
      <c r="F137" s="155" t="n">
        <v>23</v>
      </c>
      <c r="G137" s="105" t="n">
        <v>72000</v>
      </c>
      <c r="H137" s="105" t="n">
        <v>1656000</v>
      </c>
      <c r="I137" s="106" t="inlineStr">
        <is>
          <t>1 ống =8 m | Tự quy đổi ống sang m, làm tròn lên nguyên ống</t>
        </is>
      </c>
      <c r="K137" s="107" t="inlineStr">
        <is>
          <t>Ống gió mềm không kèm bảo ôn D100</t>
        </is>
      </c>
      <c r="L137" s="108" t="inlineStr">
        <is>
          <t>t</t>
        </is>
      </c>
      <c r="M137" s="108" t="n">
        <v>100</v>
      </c>
      <c r="N137" s="108" t="n">
        <v>100</v>
      </c>
      <c r="O137" s="63" t="n"/>
      <c r="P137" s="63" t="n"/>
      <c r="Q137" s="64" t="n"/>
      <c r="R137" s="65" t="n"/>
      <c r="S137" s="66" t="n">
        <v>1200</v>
      </c>
      <c r="T137" s="63" t="n">
        <v>100</v>
      </c>
      <c r="U137" s="63" t="n"/>
      <c r="V137" s="97" t="n">
        <v>0</v>
      </c>
      <c r="W137" s="68" t="n">
        <v>72000</v>
      </c>
      <c r="X137" s="98" t="n">
        <v>1</v>
      </c>
      <c r="Z137" t="n">
        <v>0</v>
      </c>
      <c r="AA137" t="n">
        <v>0</v>
      </c>
    </row>
    <row r="138" ht="24.95" customHeight="1">
      <c r="A138" s="99" t="inlineStr">
        <is>
          <t>13</t>
        </is>
      </c>
      <c r="B138" s="100" t="inlineStr">
        <is>
          <t>Ống gió mềm không kèm bảo ôn D150</t>
        </is>
      </c>
      <c r="C138" s="101" t="inlineStr">
        <is>
          <t>Ống mềm không có bảo ôn</t>
        </is>
      </c>
      <c r="D138" s="102" t="inlineStr">
        <is>
          <t>Kaiyo Việt Nam</t>
        </is>
      </c>
      <c r="E138" s="103" t="inlineStr">
        <is>
          <t>ống</t>
        </is>
      </c>
      <c r="F138" s="104" t="n">
        <v>2</v>
      </c>
      <c r="G138" s="105" t="n">
        <v>96000</v>
      </c>
      <c r="H138" s="105" t="n">
        <v>192000</v>
      </c>
      <c r="I138" s="106" t="inlineStr">
        <is>
          <t>1 ống =8 m | Tự quy đổi ống sang m, làm tròn lên nguyên ống</t>
        </is>
      </c>
      <c r="K138" s="107" t="inlineStr">
        <is>
          <t>Ống gió mềm không kèm bảo ôn D150</t>
        </is>
      </c>
      <c r="L138" s="108" t="inlineStr">
        <is>
          <t>t</t>
        </is>
      </c>
      <c r="M138" s="108" t="n">
        <v>150</v>
      </c>
      <c r="N138" s="108" t="n">
        <v>150</v>
      </c>
      <c r="O138" s="63" t="n"/>
      <c r="P138" s="63" t="n"/>
      <c r="Q138" s="64" t="n"/>
      <c r="R138" s="65" t="n"/>
      <c r="S138" s="66" t="n">
        <v>1200</v>
      </c>
      <c r="T138" s="63" t="n">
        <v>150</v>
      </c>
      <c r="U138" s="63" t="n"/>
      <c r="V138" s="97" t="n">
        <v>0</v>
      </c>
      <c r="W138" s="68" t="n">
        <v>96000</v>
      </c>
      <c r="X138" s="98" t="n">
        <v>1</v>
      </c>
      <c r="Z138" t="n">
        <v>0</v>
      </c>
      <c r="AA138" t="n">
        <v>0</v>
      </c>
    </row>
    <row r="139" ht="24.95" customHeight="1">
      <c r="A139" s="99" t="inlineStr">
        <is>
          <t>14</t>
        </is>
      </c>
      <c r="B139" s="100" t="inlineStr">
        <is>
          <t>Giá đỡ ống gió</t>
        </is>
      </c>
      <c r="C139" s="101" t="n"/>
      <c r="D139" s="102" t="n"/>
      <c r="E139" s="103" t="inlineStr">
        <is>
          <t>lô</t>
        </is>
      </c>
      <c r="F139" s="104" t="n">
        <v>1</v>
      </c>
      <c r="G139" s="105" t="n"/>
      <c r="H139" s="105" t="n">
        <v>0</v>
      </c>
      <c r="I139" s="106" t="n"/>
      <c r="K139" s="107" t="inlineStr">
        <is>
          <t>Giá đỡ ống gió</t>
        </is>
      </c>
      <c r="L139" s="108" t="inlineStr">
        <is>
          <t>t</t>
        </is>
      </c>
      <c r="M139" s="108" t="n"/>
      <c r="N139" s="108" t="n"/>
      <c r="O139" s="63" t="n"/>
      <c r="P139" s="63" t="n"/>
      <c r="Q139" s="64" t="n"/>
      <c r="R139" s="65" t="n"/>
      <c r="S139" s="66" t="n">
        <v>1200</v>
      </c>
      <c r="T139" s="63" t="n"/>
      <c r="U139" s="63" t="n"/>
      <c r="V139" s="97" t="n">
        <v>0</v>
      </c>
      <c r="W139" s="68" t="n">
        <v>0</v>
      </c>
      <c r="X139" s="98" t="n">
        <v>1</v>
      </c>
      <c r="Z139" t="n">
        <v>0</v>
      </c>
      <c r="AA139" t="n">
        <v>0</v>
      </c>
    </row>
    <row r="140" ht="24.95" customHeight="1">
      <c r="A140" s="99" t="inlineStr">
        <is>
          <t>15</t>
        </is>
      </c>
      <c r="B140" s="100" t="inlineStr">
        <is>
          <t>Vật tư phụ</t>
        </is>
      </c>
      <c r="C140" s="101" t="n"/>
      <c r="D140" s="102" t="n"/>
      <c r="E140" s="103" t="inlineStr">
        <is>
          <t>lô</t>
        </is>
      </c>
      <c r="F140" s="104" t="n">
        <v>1</v>
      </c>
      <c r="G140" s="105" t="n"/>
      <c r="H140" s="105" t="n">
        <v>0</v>
      </c>
      <c r="I140" s="106" t="n"/>
      <c r="K140" s="107" t="inlineStr">
        <is>
          <t>Vật tư phụ</t>
        </is>
      </c>
      <c r="L140" s="108" t="inlineStr"/>
      <c r="M140" s="108" t="n"/>
      <c r="N140" s="108" t="n"/>
      <c r="O140" s="63" t="n"/>
      <c r="P140" s="63" t="n"/>
      <c r="Q140" s="64" t="n"/>
      <c r="R140" s="65" t="n"/>
      <c r="S140" s="66" t="n">
        <v>1200</v>
      </c>
      <c r="T140" s="63" t="n"/>
      <c r="U140" s="63" t="n"/>
      <c r="V140" s="97" t="n">
        <v>0</v>
      </c>
      <c r="W140" s="68" t="n">
        <v>0</v>
      </c>
      <c r="X140" s="98" t="n">
        <v>0</v>
      </c>
      <c r="Z140" t="n">
        <v>0</v>
      </c>
      <c r="AA140" t="n">
        <v>0</v>
      </c>
    </row>
    <row r="141" ht="24.95" customHeight="1">
      <c r="A141" s="151" t="inlineStr">
        <is>
          <t>IX</t>
        </is>
      </c>
      <c r="B141" s="152" t="inlineStr">
        <is>
          <t>Ống gió hút thải bếp</t>
        </is>
      </c>
      <c r="C141" s="101" t="n"/>
      <c r="D141" s="102" t="n"/>
      <c r="E141" s="103" t="n"/>
      <c r="F141" s="104" t="n">
        <v>0</v>
      </c>
      <c r="G141" s="105" t="n"/>
      <c r="H141" s="105">
        <f>G141*F141</f>
        <v/>
      </c>
      <c r="I141" s="106" t="n"/>
      <c r="K141" s="107">
        <f>+B141</f>
        <v/>
      </c>
      <c r="L141" s="108" t="n"/>
      <c r="M141" s="108" t="n"/>
      <c r="N141" s="108" t="n"/>
      <c r="O141" s="63" t="n"/>
      <c r="P141" s="63" t="n"/>
      <c r="Q141" s="64" t="n"/>
      <c r="R141" s="65" t="n"/>
      <c r="S141" s="66" t="n"/>
      <c r="T141" s="63" t="n"/>
      <c r="U141" s="63" t="n"/>
      <c r="V141" s="97">
        <f>(IF(OR(L141="t",L141="TA",),(M141+N141)*2/1000*S141/1000,(IF(OR(L141="F",L141="M"),(M141*N141),IF(L141="d",(M141+N141+U141/1/2)*2*S141,IF(L141="tb",((M141+N141)*2*S141+M141*N141),IF(OR(L141="g",L141="n"),((M141+O141)*SQRT((S141)^2+((N141-P141)/2)^2)+(N141+P141)*SQRT((S141)^2+((M141-O141)/2)^2)),IF(LEFT(L141,1)="c",(2*(PI()*((M141+T141)^2-T141^2)+N141*(PI()*(M141+T141)+PI()*T141))*(U141/360)),IF(LEFT(L141,2)="vt",((M141+O141)*SQRT((S141)^2+((N141-P141)/2)^2)+(N141+P141)*SQRT((S141)^2+((M141-O141)/2)^2)+((T141+200)^2-(T141/2)^2*3.14)),IF(L141="tt",(2*(M141+N141)*(S141-1.5*O141)+(PI()*(3*O141+2/3*M141)*(O141+2/3*M141+P141+N141)-(P141+N141)*(PI()*1.5*O141))/8+(PI()*(3*Q141+2/3*M141)*(Q141+2/3*M141+R141+N141)-(R141+N141)*(PI()*1.5*Q141))/8),0))))))))/10^6))</f>
        <v/>
      </c>
      <c r="W141" s="68" t="n"/>
      <c r="X141" s="98" t="n"/>
    </row>
    <row r="142" ht="24.95" customHeight="1">
      <c r="A142" s="99" t="inlineStr">
        <is>
          <t>1</t>
        </is>
      </c>
      <c r="B142" s="100" t="inlineStr">
        <is>
          <t>Ống gió tôn tráng kẽm KT800x400</t>
        </is>
      </c>
      <c r="C142" s="101" t="inlineStr">
        <is>
          <t>Tôn mạ kẽm dày 0.75 mm</t>
        </is>
      </c>
      <c r="D142" s="102" t="inlineStr">
        <is>
          <t>Kaiyo Việt Nam</t>
        </is>
      </c>
      <c r="E142" s="103" t="inlineStr">
        <is>
          <t>m</t>
        </is>
      </c>
      <c r="F142" s="156" t="n">
        <v>86.90000000000001</v>
      </c>
      <c r="G142" s="105" t="n">
        <v>470400</v>
      </c>
      <c r="H142" s="105" t="n">
        <v>40877760</v>
      </c>
      <c r="I142" s="106" t="inlineStr"/>
      <c r="K142" s="107" t="inlineStr">
        <is>
          <t>Ống gió tôn tráng kẽm KT800x400</t>
        </is>
      </c>
      <c r="L142" s="108" t="inlineStr">
        <is>
          <t>t</t>
        </is>
      </c>
      <c r="M142" s="108" t="n">
        <v>800</v>
      </c>
      <c r="N142" s="108" t="n">
        <v>400</v>
      </c>
      <c r="O142" s="63" t="n"/>
      <c r="P142" s="63" t="n"/>
      <c r="Q142" s="64" t="n"/>
      <c r="R142" s="65" t="n"/>
      <c r="S142" s="66" t="n">
        <v>1200</v>
      </c>
      <c r="T142" s="63" t="n"/>
      <c r="U142" s="63" t="n"/>
      <c r="V142" s="97" t="n">
        <v>2.88</v>
      </c>
      <c r="W142" s="68" t="n">
        <v>470400</v>
      </c>
      <c r="X142" s="98" t="n">
        <v>1</v>
      </c>
      <c r="Z142" t="n">
        <v>0</v>
      </c>
      <c r="AA142" t="n">
        <v>0</v>
      </c>
    </row>
    <row r="143" ht="24.95" customHeight="1">
      <c r="A143" s="99" t="inlineStr">
        <is>
          <t>2</t>
        </is>
      </c>
      <c r="B143" s="100" t="inlineStr">
        <is>
          <t>Phụ kiện ống gió</t>
        </is>
      </c>
      <c r="C143" s="101" t="n"/>
      <c r="D143" s="102" t="n"/>
      <c r="E143" s="103" t="inlineStr">
        <is>
          <t>lô</t>
        </is>
      </c>
      <c r="F143" s="104" t="n">
        <v>1</v>
      </c>
      <c r="G143" s="105" t="n"/>
      <c r="H143" s="105" t="n">
        <v>0</v>
      </c>
      <c r="I143" s="106" t="n"/>
      <c r="K143" s="107" t="inlineStr">
        <is>
          <t>Phụ kiện ống gió</t>
        </is>
      </c>
      <c r="L143" s="108" t="inlineStr">
        <is>
          <t>t</t>
        </is>
      </c>
      <c r="M143" s="108" t="n"/>
      <c r="N143" s="108" t="n"/>
      <c r="O143" s="63" t="n"/>
      <c r="P143" s="63" t="n"/>
      <c r="Q143" s="64" t="n"/>
      <c r="R143" s="65" t="n"/>
      <c r="S143" s="66" t="n">
        <v>1200</v>
      </c>
      <c r="T143" s="63" t="n"/>
      <c r="U143" s="63" t="n"/>
      <c r="V143" s="97" t="n">
        <v>0</v>
      </c>
      <c r="W143" s="68" t="n">
        <v>0</v>
      </c>
      <c r="X143" s="98" t="n">
        <v>1</v>
      </c>
      <c r="Z143" t="n">
        <v>0</v>
      </c>
      <c r="AA143" t="n">
        <v>0</v>
      </c>
    </row>
    <row r="144" ht="24.95" customHeight="1">
      <c r="A144" s="99" t="inlineStr">
        <is>
          <t>3</t>
        </is>
      </c>
      <c r="B144" s="100" t="inlineStr">
        <is>
          <t>Bọc cách nhiệt cho ống hút khói bếp</t>
        </is>
      </c>
      <c r="C144" s="101" t="n"/>
      <c r="D144" s="102" t="n"/>
      <c r="E144" s="103" t="inlineStr">
        <is>
          <t>m2</t>
        </is>
      </c>
      <c r="F144" s="104" t="n">
        <v>222.464</v>
      </c>
      <c r="G144" s="105" t="n"/>
      <c r="H144" s="105" t="n">
        <v>0</v>
      </c>
      <c r="I144" s="106" t="n"/>
      <c r="K144" s="107" t="inlineStr">
        <is>
          <t>Bọc cách nhiệt cho ống hút khói bếp</t>
        </is>
      </c>
      <c r="L144" s="108" t="inlineStr">
        <is>
          <t>t</t>
        </is>
      </c>
      <c r="M144" s="108" t="n"/>
      <c r="N144" s="108" t="n"/>
      <c r="O144" s="63" t="n"/>
      <c r="P144" s="63" t="n"/>
      <c r="Q144" s="64" t="n"/>
      <c r="R144" s="65" t="n"/>
      <c r="S144" s="66" t="n">
        <v>1200</v>
      </c>
      <c r="T144" s="63" t="n"/>
      <c r="U144" s="63" t="n"/>
      <c r="V144" s="97" t="n">
        <v>0</v>
      </c>
      <c r="W144" s="68" t="n">
        <v>0</v>
      </c>
      <c r="X144" s="98" t="n">
        <v>1.25</v>
      </c>
      <c r="Z144" t="n">
        <v>0</v>
      </c>
      <c r="AA144" t="n">
        <v>0</v>
      </c>
    </row>
    <row r="145" ht="24.95" customHeight="1">
      <c r="A145" s="99" t="inlineStr">
        <is>
          <t>4</t>
        </is>
      </c>
      <c r="B145" s="100" t="inlineStr">
        <is>
          <t>Giá đỡ ống gió</t>
        </is>
      </c>
      <c r="C145" s="101" t="n"/>
      <c r="D145" s="102" t="n"/>
      <c r="E145" s="103" t="inlineStr">
        <is>
          <t>bộ</t>
        </is>
      </c>
      <c r="F145" s="104" t="n">
        <v>44</v>
      </c>
      <c r="G145" s="105" t="n"/>
      <c r="H145" s="105" t="n">
        <v>0</v>
      </c>
      <c r="I145" s="106" t="n"/>
      <c r="K145" s="107" t="inlineStr">
        <is>
          <t>Giá đỡ ống gió</t>
        </is>
      </c>
      <c r="L145" s="108" t="inlineStr">
        <is>
          <t>t</t>
        </is>
      </c>
      <c r="M145" s="108" t="n"/>
      <c r="N145" s="108" t="n"/>
      <c r="O145" s="63" t="n"/>
      <c r="P145" s="63" t="n"/>
      <c r="Q145" s="64" t="n"/>
      <c r="R145" s="65" t="n"/>
      <c r="S145" s="66" t="n">
        <v>1200</v>
      </c>
      <c r="T145" s="63" t="n"/>
      <c r="U145" s="63" t="n"/>
      <c r="V145" s="97" t="n">
        <v>0</v>
      </c>
      <c r="W145" s="68" t="n">
        <v>0</v>
      </c>
      <c r="X145" s="98" t="n">
        <v>1</v>
      </c>
      <c r="Z145" t="n">
        <v>0</v>
      </c>
      <c r="AA145" t="n">
        <v>0</v>
      </c>
    </row>
    <row r="146" ht="24.95" customHeight="1">
      <c r="A146" s="99" t="inlineStr">
        <is>
          <t>5</t>
        </is>
      </c>
      <c r="B146" s="100" t="inlineStr">
        <is>
          <t>Vật tư phụ</t>
        </is>
      </c>
      <c r="C146" s="101" t="n"/>
      <c r="D146" s="102" t="n"/>
      <c r="E146" s="103" t="inlineStr">
        <is>
          <t>lô</t>
        </is>
      </c>
      <c r="F146" s="104" t="n">
        <v>1</v>
      </c>
      <c r="G146" s="105" t="n"/>
      <c r="H146" s="105" t="n">
        <v>0</v>
      </c>
      <c r="I146" s="106" t="n"/>
      <c r="K146" s="107" t="inlineStr">
        <is>
          <t>Vật tư phụ</t>
        </is>
      </c>
      <c r="L146" s="108" t="inlineStr"/>
      <c r="M146" s="108" t="n"/>
      <c r="N146" s="108" t="n"/>
      <c r="O146" s="63" t="n"/>
      <c r="P146" s="63" t="n"/>
      <c r="Q146" s="64" t="n"/>
      <c r="R146" s="65" t="n"/>
      <c r="S146" s="66" t="n">
        <v>1200</v>
      </c>
      <c r="T146" s="63" t="n"/>
      <c r="U146" s="63" t="n"/>
      <c r="V146" s="97" t="n">
        <v>0</v>
      </c>
      <c r="W146" s="68" t="n">
        <v>0</v>
      </c>
      <c r="X146" s="98" t="n">
        <v>0</v>
      </c>
      <c r="Z146" t="n">
        <v>0</v>
      </c>
      <c r="AA146" t="n">
        <v>0</v>
      </c>
    </row>
    <row r="147" ht="24.95" customHeight="1">
      <c r="A147" s="151" t="inlineStr">
        <is>
          <t>X</t>
        </is>
      </c>
      <c r="B147" s="152" t="inlineStr">
        <is>
          <t>Van &amp; cửa gió</t>
        </is>
      </c>
      <c r="C147" s="101" t="n"/>
      <c r="D147" s="102" t="n"/>
      <c r="E147" s="103" t="n"/>
      <c r="F147" s="104" t="n">
        <v>0</v>
      </c>
      <c r="G147" s="105" t="n"/>
      <c r="H147" s="105">
        <f>G147*F147</f>
        <v/>
      </c>
      <c r="I147" s="106" t="n"/>
      <c r="K147" s="107">
        <f>+B147</f>
        <v/>
      </c>
      <c r="L147" s="108" t="n"/>
      <c r="M147" s="108" t="n"/>
      <c r="N147" s="108" t="n"/>
      <c r="O147" s="63" t="n"/>
      <c r="P147" s="63" t="n"/>
      <c r="Q147" s="64" t="n"/>
      <c r="R147" s="65" t="n"/>
      <c r="S147" s="66" t="n"/>
      <c r="T147" s="63" t="n"/>
      <c r="U147" s="63" t="n"/>
      <c r="V147" s="97">
        <f>(IF(OR(L147="t",L147="TA",),(M147+N147)*2/1000*S147/1000,(IF(OR(L147="F",L147="M"),(M147*N147),IF(L147="d",(M147+N147+U147/1/2)*2*S147,IF(L147="tb",((M147+N147)*2*S147+M147*N147),IF(OR(L147="g",L147="n"),((M147+O147)*SQRT((S147)^2+((N147-P147)/2)^2)+(N147+P147)*SQRT((S147)^2+((M147-O147)/2)^2)),IF(LEFT(L147,1)="c",(2*(PI()*((M147+T147)^2-T147^2)+N147*(PI()*(M147+T147)+PI()*T147))*(U147/360)),IF(LEFT(L147,2)="vt",((M147+O147)*SQRT((S147)^2+((N147-P147)/2)^2)+(N147+P147)*SQRT((S147)^2+((M147-O147)/2)^2)+((T147+200)^2-(T147/2)^2*3.14)),IF(L147="tt",(2*(M147+N147)*(S147-1.5*O147)+(PI()*(3*O147+2/3*M147)*(O147+2/3*M147+P147+N147)-(P147+N147)*(PI()*1.5*O147))/8+(PI()*(3*Q147+2/3*M147)*(Q147+2/3*M147+R147+N147)-(R147+N147)*(PI()*1.5*Q147))/8),0))))))))/10^6))</f>
        <v/>
      </c>
      <c r="W147" s="68" t="n"/>
      <c r="X147" s="98" t="n"/>
    </row>
    <row r="148" ht="99.95" customHeight="1">
      <c r="A148" s="99" t="inlineStr">
        <is>
          <t>1</t>
        </is>
      </c>
      <c r="B148" s="100" t="inlineStr">
        <is>
          <t>Van chặn lửa FD KT200x200</t>
        </is>
      </c>
      <c r="C148" s="101" t="inlineStr">
        <is>
          <t>-Tấm chống cháy dày 5mm , Tấm chống cháy dày 8mm , Tấm cách nhiệt dày 16mm , tôn mạ kẽm dày 1.15 mm 
-Van được vận hành đóng/ mở thông qua cầu chì nhiệt 74 độ</t>
        </is>
      </c>
      <c r="D148" s="102" t="inlineStr">
        <is>
          <t>Kaiyo Việt Nam</t>
        </is>
      </c>
      <c r="E148" s="103" t="inlineStr">
        <is>
          <t>cái</t>
        </is>
      </c>
      <c r="F148" s="104" t="n">
        <v>20</v>
      </c>
      <c r="G148" s="105" t="n">
        <v>1220000</v>
      </c>
      <c r="H148" s="105" t="n">
        <v>24400000</v>
      </c>
      <c r="I148" s="106" t="inlineStr">
        <is>
          <t>Van EI60, L=250</t>
        </is>
      </c>
      <c r="K148" s="107" t="inlineStr">
        <is>
          <t>Van chặn lửa FD KT200x200</t>
        </is>
      </c>
      <c r="L148" s="108" t="inlineStr">
        <is>
          <t>fd</t>
        </is>
      </c>
      <c r="M148" s="108" t="n">
        <v>200</v>
      </c>
      <c r="N148" s="108" t="n">
        <v>200</v>
      </c>
      <c r="O148" s="63" t="n"/>
      <c r="P148" s="63" t="n"/>
      <c r="Q148" s="64">
        <f>M148*N148/1000000</f>
        <v/>
      </c>
      <c r="R148" s="65">
        <f>P148+Q148</f>
        <v/>
      </c>
      <c r="S148" s="66" t="n">
        <v>1200</v>
      </c>
      <c r="T148" s="63" t="n"/>
      <c r="U148" s="63" t="n"/>
      <c r="V148" s="67" t="n">
        <v>0.04</v>
      </c>
      <c r="W148" s="68" t="n">
        <v>1220000</v>
      </c>
      <c r="X148" s="68" t="n">
        <v>1</v>
      </c>
      <c r="Z148" t="n">
        <v>0</v>
      </c>
      <c r="AA148" t="n">
        <v>0</v>
      </c>
    </row>
    <row r="149" ht="24.95" customHeight="1">
      <c r="A149" s="99" t="inlineStr">
        <is>
          <t>2</t>
        </is>
      </c>
      <c r="B149" s="100" t="inlineStr">
        <is>
          <t>Van điều chỉnh lưu lượng VCD KT200x200</t>
        </is>
      </c>
      <c r="C149" s="103" t="inlineStr">
        <is>
          <t>Thép mạ kẽm độ mạ Z080</t>
        </is>
      </c>
      <c r="D149" s="102" t="inlineStr">
        <is>
          <t>Kaiyo Việt Nam</t>
        </is>
      </c>
      <c r="E149" s="103" t="inlineStr">
        <is>
          <t>pcs</t>
        </is>
      </c>
      <c r="F149" s="104" t="n">
        <v>15</v>
      </c>
      <c r="G149" s="105" t="n">
        <v>180000</v>
      </c>
      <c r="H149" s="105" t="n">
        <v>2700000</v>
      </c>
      <c r="I149" s="106" t="inlineStr">
        <is>
          <t>L=200</t>
        </is>
      </c>
      <c r="K149" s="107" t="inlineStr">
        <is>
          <t>Van điều chỉnh lưu lượng VCD KT200x200</t>
        </is>
      </c>
      <c r="L149" s="108" t="inlineStr">
        <is>
          <t>vcd</t>
        </is>
      </c>
      <c r="M149" s="108" t="n">
        <v>200</v>
      </c>
      <c r="N149" s="108" t="n">
        <v>200</v>
      </c>
      <c r="O149" s="63" t="n"/>
      <c r="P149" s="63" t="n"/>
      <c r="Q149" s="64">
        <f>M149*N149/1000000</f>
        <v/>
      </c>
      <c r="R149" s="65">
        <f>P149+Q149</f>
        <v/>
      </c>
      <c r="S149" s="66" t="n">
        <v>1200</v>
      </c>
      <c r="T149" s="63" t="n"/>
      <c r="U149" s="63" t="n"/>
      <c r="V149" s="67" t="n">
        <v>0.04</v>
      </c>
      <c r="W149" s="68" t="n">
        <v>180000</v>
      </c>
      <c r="X149" s="98" t="n">
        <v>1</v>
      </c>
      <c r="Z149" t="n">
        <v>0</v>
      </c>
      <c r="AA149" t="n">
        <v>0</v>
      </c>
    </row>
    <row r="150" ht="24.95" customHeight="1">
      <c r="A150" s="99" t="inlineStr">
        <is>
          <t>3</t>
        </is>
      </c>
      <c r="B150" s="100" t="inlineStr">
        <is>
          <t>Van điều chỉnh lưu lượng VCD D100</t>
        </is>
      </c>
      <c r="C150" s="103" t="inlineStr">
        <is>
          <t>Thép mạ kẽm độ mạ Z080</t>
        </is>
      </c>
      <c r="D150" s="102" t="inlineStr">
        <is>
          <t>Kaiyo Việt Nam</t>
        </is>
      </c>
      <c r="E150" s="103" t="inlineStr">
        <is>
          <t>cái</t>
        </is>
      </c>
      <c r="F150" s="104" t="n">
        <v>96</v>
      </c>
      <c r="G150" s="105" t="n">
        <v>110000</v>
      </c>
      <c r="H150" s="105" t="n">
        <v>10560000</v>
      </c>
      <c r="I150" s="106" t="inlineStr">
        <is>
          <t>L=200</t>
        </is>
      </c>
      <c r="K150" s="107" t="inlineStr">
        <is>
          <t>Van điều chỉnh lưu lượng VCD D100</t>
        </is>
      </c>
      <c r="L150" s="108" t="inlineStr">
        <is>
          <t>vcd</t>
        </is>
      </c>
      <c r="M150" s="108" t="n">
        <v>100</v>
      </c>
      <c r="N150" s="108" t="n">
        <v>100</v>
      </c>
      <c r="O150" s="63" t="n"/>
      <c r="P150" s="63" t="n"/>
      <c r="Q150" s="64" t="n"/>
      <c r="R150" s="65" t="n"/>
      <c r="S150" s="66" t="n">
        <v>1200</v>
      </c>
      <c r="T150" s="63" t="n">
        <v>100</v>
      </c>
      <c r="U150" s="63" t="n"/>
      <c r="V150" s="97" t="n">
        <v>0.007900000000000001</v>
      </c>
      <c r="W150" s="68" t="n">
        <v>110000</v>
      </c>
      <c r="X150" s="98" t="n">
        <v>1</v>
      </c>
      <c r="Z150" t="n">
        <v>0</v>
      </c>
      <c r="AA150" t="n">
        <v>0</v>
      </c>
    </row>
    <row r="151" ht="24.95" customHeight="1">
      <c r="A151" s="99" t="inlineStr">
        <is>
          <t>4</t>
        </is>
      </c>
      <c r="B151" s="100" t="inlineStr">
        <is>
          <t>Cửa gió Louver kèm lưới chắn côn trùng KT400x200</t>
        </is>
      </c>
      <c r="C151" s="101" t="inlineStr">
        <is>
          <t>Nhôm sơn tĩnh điện</t>
        </is>
      </c>
      <c r="D151" s="102" t="inlineStr">
        <is>
          <t>Kaiyo Việt Nam</t>
        </is>
      </c>
      <c r="E151" s="103" t="inlineStr">
        <is>
          <t>cái</t>
        </is>
      </c>
      <c r="F151" s="104" t="n">
        <v>1</v>
      </c>
      <c r="G151" s="105" t="n">
        <v>188000</v>
      </c>
      <c r="H151" s="105" t="n">
        <v>188000</v>
      </c>
      <c r="I151" s="106" t="inlineStr">
        <is>
          <t>cửa nan Z + LCCT</t>
        </is>
      </c>
      <c r="K151" s="107" t="inlineStr">
        <is>
          <t>Cửa gió Louver kèm lưới chắn côn trùng KT400x200</t>
        </is>
      </c>
      <c r="L151" s="108" t="inlineStr">
        <is>
          <t>c</t>
        </is>
      </c>
      <c r="M151" s="108" t="n">
        <v>400</v>
      </c>
      <c r="N151" s="108" t="n">
        <v>200</v>
      </c>
      <c r="O151" s="63" t="n"/>
      <c r="P151" s="63" t="n"/>
      <c r="Q151" s="63">
        <f>P151*M151/1000</f>
        <v/>
      </c>
      <c r="R151" s="63" t="n"/>
      <c r="S151" s="66" t="n">
        <v>1200</v>
      </c>
      <c r="T151" s="63" t="n"/>
      <c r="U151" s="63" t="n"/>
      <c r="V151" s="67" t="n">
        <v>0.08</v>
      </c>
      <c r="W151" s="68" t="n">
        <v>188000</v>
      </c>
      <c r="X151" s="68" t="n">
        <v>1</v>
      </c>
      <c r="Z151" t="n">
        <v>0</v>
      </c>
      <c r="AA151" t="n">
        <v>0</v>
      </c>
    </row>
    <row r="152" ht="24.95" customHeight="1">
      <c r="A152" s="99" t="inlineStr">
        <is>
          <t>5</t>
        </is>
      </c>
      <c r="B152" s="100" t="inlineStr">
        <is>
          <t>Cửa gió Louver kèm lưới chắn côn trùng KT500x200</t>
        </is>
      </c>
      <c r="C152" s="101" t="inlineStr">
        <is>
          <t>Nhôm sơn tĩnh điện</t>
        </is>
      </c>
      <c r="D152" s="102" t="inlineStr">
        <is>
          <t>Kaiyo Việt Nam</t>
        </is>
      </c>
      <c r="E152" s="103" t="inlineStr">
        <is>
          <t>cái</t>
        </is>
      </c>
      <c r="F152" s="104" t="n">
        <v>4</v>
      </c>
      <c r="G152" s="105" t="n">
        <v>226000</v>
      </c>
      <c r="H152" s="105" t="n">
        <v>904000</v>
      </c>
      <c r="I152" s="106" t="inlineStr">
        <is>
          <t>cửa nan Z + LCCT</t>
        </is>
      </c>
      <c r="K152" s="107" t="inlineStr">
        <is>
          <t>Cửa gió Louver kèm lưới chắn côn trùng KT500x200</t>
        </is>
      </c>
      <c r="L152" s="108" t="inlineStr">
        <is>
          <t>c</t>
        </is>
      </c>
      <c r="M152" s="108" t="n">
        <v>500</v>
      </c>
      <c r="N152" s="108" t="n">
        <v>200</v>
      </c>
      <c r="O152" s="63" t="n"/>
      <c r="P152" s="63" t="n"/>
      <c r="Q152" s="63">
        <f>P152*M152/1000</f>
        <v/>
      </c>
      <c r="R152" s="63" t="n"/>
      <c r="S152" s="66" t="n">
        <v>1200</v>
      </c>
      <c r="T152" s="63" t="n"/>
      <c r="U152" s="63" t="n"/>
      <c r="V152" s="67" t="n">
        <v>0.1</v>
      </c>
      <c r="W152" s="68" t="n">
        <v>226000</v>
      </c>
      <c r="X152" s="68" t="n">
        <v>1</v>
      </c>
      <c r="Z152" t="n">
        <v>0</v>
      </c>
      <c r="AA152" t="n">
        <v>0</v>
      </c>
    </row>
    <row r="153" ht="24.95" customHeight="1">
      <c r="A153" s="99" t="inlineStr">
        <is>
          <t>6</t>
        </is>
      </c>
      <c r="B153" s="100" t="inlineStr">
        <is>
          <t>Cửa gió Louver kèm lưới chắn côn trùng KT600x300</t>
        </is>
      </c>
      <c r="C153" s="101" t="inlineStr">
        <is>
          <t>Nhôm sơn tĩnh điện</t>
        </is>
      </c>
      <c r="D153" s="102" t="inlineStr">
        <is>
          <t>Kaiyo Việt Nam</t>
        </is>
      </c>
      <c r="E153" s="103" t="inlineStr">
        <is>
          <t>cái</t>
        </is>
      </c>
      <c r="F153" s="104" t="n">
        <v>1</v>
      </c>
      <c r="G153" s="105" t="n">
        <v>357000</v>
      </c>
      <c r="H153" s="105" t="n">
        <v>357000</v>
      </c>
      <c r="I153" s="106" t="inlineStr">
        <is>
          <t>cửa nan Z + LCCT</t>
        </is>
      </c>
      <c r="K153" s="107" t="inlineStr">
        <is>
          <t>Cửa gió Louver kèm lưới chắn côn trùng KT600x300</t>
        </is>
      </c>
      <c r="L153" s="108" t="inlineStr">
        <is>
          <t>c</t>
        </is>
      </c>
      <c r="M153" s="108" t="n">
        <v>600</v>
      </c>
      <c r="N153" s="108" t="n">
        <v>300</v>
      </c>
      <c r="O153" s="63" t="n"/>
      <c r="P153" s="63" t="n"/>
      <c r="Q153" s="63">
        <f>P153*M153/1000</f>
        <v/>
      </c>
      <c r="R153" s="63" t="n"/>
      <c r="S153" s="66" t="n">
        <v>1200</v>
      </c>
      <c r="T153" s="63" t="n"/>
      <c r="U153" s="63" t="n"/>
      <c r="V153" s="67" t="n">
        <v>0.18</v>
      </c>
      <c r="W153" s="68" t="n">
        <v>357000</v>
      </c>
      <c r="X153" s="68" t="n">
        <v>1</v>
      </c>
      <c r="Z153" t="n">
        <v>0</v>
      </c>
      <c r="AA153" t="n">
        <v>0</v>
      </c>
    </row>
    <row r="154" ht="24.95" customHeight="1">
      <c r="A154" s="99" t="inlineStr">
        <is>
          <t>7</t>
        </is>
      </c>
      <c r="B154" s="100" t="inlineStr">
        <is>
          <t>Cửa gió Louver kèm lưới chắn côn trùng KT800x300</t>
        </is>
      </c>
      <c r="C154" s="101" t="inlineStr">
        <is>
          <t>Nhôm sơn tĩnh điện</t>
        </is>
      </c>
      <c r="D154" s="102" t="inlineStr">
        <is>
          <t>Kaiyo Việt Nam</t>
        </is>
      </c>
      <c r="E154" s="103" t="inlineStr">
        <is>
          <t>cái</t>
        </is>
      </c>
      <c r="F154" s="104" t="n">
        <v>12</v>
      </c>
      <c r="G154" s="105" t="n">
        <v>458000</v>
      </c>
      <c r="H154" s="105" t="n">
        <v>5496000</v>
      </c>
      <c r="I154" s="106" t="inlineStr">
        <is>
          <t>cửa nan Z + LCCT</t>
        </is>
      </c>
      <c r="K154" s="107" t="inlineStr">
        <is>
          <t>Cửa gió Louver kèm lưới chắn côn trùng KT800x300</t>
        </is>
      </c>
      <c r="L154" s="108" t="inlineStr">
        <is>
          <t>c</t>
        </is>
      </c>
      <c r="M154" s="108" t="n">
        <v>800</v>
      </c>
      <c r="N154" s="108" t="n">
        <v>300</v>
      </c>
      <c r="O154" s="63" t="n"/>
      <c r="P154" s="63" t="n"/>
      <c r="Q154" s="63">
        <f>P154*M154/1000</f>
        <v/>
      </c>
      <c r="R154" s="63" t="n"/>
      <c r="S154" s="66" t="n">
        <v>1200</v>
      </c>
      <c r="T154" s="63" t="n"/>
      <c r="U154" s="63" t="n"/>
      <c r="V154" s="67" t="n">
        <v>0.24</v>
      </c>
      <c r="W154" s="68" t="n">
        <v>458000</v>
      </c>
      <c r="X154" s="68" t="n">
        <v>1</v>
      </c>
      <c r="Z154" t="n">
        <v>0</v>
      </c>
      <c r="AA154" t="n">
        <v>0</v>
      </c>
    </row>
    <row r="155" ht="24.95" customHeight="1">
      <c r="A155" s="99" t="inlineStr">
        <is>
          <t>8</t>
        </is>
      </c>
      <c r="B155" s="100" t="inlineStr">
        <is>
          <t>Cửa gió Louver kèm lưới chắn côn trùng KT900x300</t>
        </is>
      </c>
      <c r="C155" s="101" t="inlineStr">
        <is>
          <t>Nhôm sơn tĩnh điện</t>
        </is>
      </c>
      <c r="D155" s="102" t="inlineStr">
        <is>
          <t>Kaiyo Việt Nam</t>
        </is>
      </c>
      <c r="E155" s="103" t="inlineStr">
        <is>
          <t>cái</t>
        </is>
      </c>
      <c r="F155" s="104" t="n">
        <v>8</v>
      </c>
      <c r="G155" s="105" t="n">
        <v>508500</v>
      </c>
      <c r="H155" s="105" t="n">
        <v>4068000</v>
      </c>
      <c r="I155" s="106" t="inlineStr">
        <is>
          <t>cửa nan Z + LCCT</t>
        </is>
      </c>
      <c r="K155" s="107" t="inlineStr">
        <is>
          <t>Cửa gió Louver kèm lưới chắn côn trùng KT900x300</t>
        </is>
      </c>
      <c r="L155" s="108" t="inlineStr">
        <is>
          <t>c</t>
        </is>
      </c>
      <c r="M155" s="108" t="n">
        <v>900</v>
      </c>
      <c r="N155" s="108" t="n">
        <v>300</v>
      </c>
      <c r="O155" s="63" t="n"/>
      <c r="P155" s="63" t="n"/>
      <c r="Q155" s="63">
        <f>P155*M155/1000</f>
        <v/>
      </c>
      <c r="R155" s="63" t="n"/>
      <c r="S155" s="66" t="n">
        <v>1200</v>
      </c>
      <c r="T155" s="63" t="n"/>
      <c r="U155" s="63" t="n"/>
      <c r="V155" s="67" t="n">
        <v>0.27</v>
      </c>
      <c r="W155" s="68" t="n">
        <v>508500</v>
      </c>
      <c r="X155" s="68" t="n">
        <v>1</v>
      </c>
      <c r="Z155" t="n">
        <v>0</v>
      </c>
      <c r="AA155" t="n">
        <v>0</v>
      </c>
    </row>
    <row r="156" ht="24.95" customHeight="1">
      <c r="A156" s="99" t="inlineStr">
        <is>
          <t>9</t>
        </is>
      </c>
      <c r="B156" s="100" t="inlineStr">
        <is>
          <t>Cửa gió Louver kèm lưới chắn côn trùng KT1000x200</t>
        </is>
      </c>
      <c r="C156" s="101" t="inlineStr">
        <is>
          <t>Nhôm sơn tĩnh điện</t>
        </is>
      </c>
      <c r="D156" s="102" t="inlineStr">
        <is>
          <t>Kaiyo Việt Nam</t>
        </is>
      </c>
      <c r="E156" s="103" t="inlineStr">
        <is>
          <t>cái</t>
        </is>
      </c>
      <c r="F156" s="104" t="n">
        <v>1</v>
      </c>
      <c r="G156" s="105" t="n">
        <v>416000</v>
      </c>
      <c r="H156" s="105" t="n">
        <v>416000</v>
      </c>
      <c r="I156" s="106" t="inlineStr">
        <is>
          <t>cửa nan Z + LCCT</t>
        </is>
      </c>
      <c r="K156" s="107" t="inlineStr">
        <is>
          <t>Cửa gió Louver kèm lưới chắn côn trùng KT1000x200</t>
        </is>
      </c>
      <c r="L156" s="108" t="inlineStr">
        <is>
          <t>c</t>
        </is>
      </c>
      <c r="M156" s="108" t="n">
        <v>1000</v>
      </c>
      <c r="N156" s="108" t="n">
        <v>200</v>
      </c>
      <c r="O156" s="63" t="n"/>
      <c r="P156" s="63" t="n"/>
      <c r="Q156" s="63">
        <f>P156*M156/1000</f>
        <v/>
      </c>
      <c r="R156" s="63" t="n"/>
      <c r="S156" s="66" t="n">
        <v>1200</v>
      </c>
      <c r="T156" s="63" t="n"/>
      <c r="U156" s="63" t="n"/>
      <c r="V156" s="67" t="n">
        <v>0.2</v>
      </c>
      <c r="W156" s="68" t="n">
        <v>416000</v>
      </c>
      <c r="X156" s="68" t="n">
        <v>1</v>
      </c>
      <c r="Z156" t="n">
        <v>0</v>
      </c>
      <c r="AA156" t="n">
        <v>0</v>
      </c>
    </row>
    <row r="157" ht="24.95" customHeight="1">
      <c r="A157" s="99" t="inlineStr">
        <is>
          <t>10</t>
        </is>
      </c>
      <c r="B157" s="100" t="inlineStr">
        <is>
          <t>Cửa gió cấp loại khuếch tán kèm OBD KT600x600</t>
        </is>
      </c>
      <c r="C157" s="101" t="inlineStr">
        <is>
          <t>Nhôm sơn tĩnh điện</t>
        </is>
      </c>
      <c r="D157" s="102" t="inlineStr">
        <is>
          <t>Kaiyo Việt Nam</t>
        </is>
      </c>
      <c r="E157" s="103" t="inlineStr">
        <is>
          <t>cái</t>
        </is>
      </c>
      <c r="F157" s="104" t="n">
        <v>90</v>
      </c>
      <c r="G157" s="105" t="n">
        <v>690000</v>
      </c>
      <c r="H157" s="105" t="n">
        <v>62100000</v>
      </c>
      <c r="I157" s="106" t="inlineStr">
        <is>
          <t>Cửa khuếch tán + OBD</t>
        </is>
      </c>
      <c r="K157" s="107" t="inlineStr">
        <is>
          <t>Cửa gió cấp loại khuếch tán kèm OBD KT600x600</t>
        </is>
      </c>
      <c r="L157" s="108" t="inlineStr">
        <is>
          <t>c</t>
        </is>
      </c>
      <c r="M157" s="108" t="n">
        <v>600</v>
      </c>
      <c r="N157" s="108" t="n">
        <v>600</v>
      </c>
      <c r="O157" s="63" t="n"/>
      <c r="P157" s="63" t="n"/>
      <c r="Q157" s="64" t="n"/>
      <c r="R157" s="65" t="n"/>
      <c r="S157" s="66" t="n">
        <v>1200</v>
      </c>
      <c r="T157" s="63" t="n"/>
      <c r="U157" s="63" t="n"/>
      <c r="V157" s="97" t="n">
        <v>0.36</v>
      </c>
      <c r="W157" s="68" t="n">
        <v>690000</v>
      </c>
      <c r="X157" s="98" t="n">
        <v>1</v>
      </c>
      <c r="Z157" t="n">
        <v>0</v>
      </c>
      <c r="AA157" t="n">
        <v>0</v>
      </c>
    </row>
    <row r="158" ht="24.95" customHeight="1">
      <c r="A158" s="99" t="inlineStr">
        <is>
          <t>11</t>
        </is>
      </c>
      <c r="B158" s="100" t="inlineStr">
        <is>
          <t>Cửa gió hồi nan thẳng KT600x600</t>
        </is>
      </c>
      <c r="C158" s="101" t="inlineStr">
        <is>
          <t>Nhôm sơn tĩnh điện</t>
        </is>
      </c>
      <c r="D158" s="102" t="inlineStr">
        <is>
          <t>Kaiyo Việt Nam</t>
        </is>
      </c>
      <c r="E158" s="103" t="inlineStr">
        <is>
          <t>cái</t>
        </is>
      </c>
      <c r="F158" s="104" t="n">
        <v>90</v>
      </c>
      <c r="G158" s="105" t="n">
        <v>346200</v>
      </c>
      <c r="H158" s="105" t="n">
        <v>31158000</v>
      </c>
      <c r="I158" s="106" t="inlineStr">
        <is>
          <t>cửa nan thẳng 1 lớp</t>
        </is>
      </c>
      <c r="K158" s="107" t="inlineStr">
        <is>
          <t>Cửa gió hồi nan thẳng KT600x600</t>
        </is>
      </c>
      <c r="L158" s="108" t="inlineStr">
        <is>
          <t>c</t>
        </is>
      </c>
      <c r="M158" s="108" t="n">
        <v>600</v>
      </c>
      <c r="N158" s="108" t="n">
        <v>600</v>
      </c>
      <c r="O158" s="63" t="n"/>
      <c r="P158" s="63" t="n"/>
      <c r="Q158" s="63">
        <f>P158*M158/1000</f>
        <v/>
      </c>
      <c r="R158" s="63" t="n"/>
      <c r="S158" s="66" t="n">
        <v>1200</v>
      </c>
      <c r="T158" s="63" t="n"/>
      <c r="U158" s="63" t="n"/>
      <c r="V158" s="67" t="n">
        <v>0.36</v>
      </c>
      <c r="W158" s="68" t="n">
        <v>346200</v>
      </c>
      <c r="X158" s="68" t="n">
        <v>1</v>
      </c>
      <c r="Z158" t="n">
        <v>0</v>
      </c>
      <c r="AA158" t="n">
        <v>0</v>
      </c>
    </row>
    <row r="159" ht="35.1" customHeight="1">
      <c r="A159" s="99" t="inlineStr">
        <is>
          <t>12</t>
        </is>
      </c>
      <c r="B159" s="100" t="inlineStr">
        <is>
          <t>SAG Cửa cấp gió tươi kèm OBD KT 1200x150</t>
        </is>
      </c>
      <c r="C159" s="101" t="inlineStr">
        <is>
          <t>Nhôm sơn tĩnh điện</t>
        </is>
      </c>
      <c r="D159" s="102" t="inlineStr">
        <is>
          <t>Kaiyo Việt Nam</t>
        </is>
      </c>
      <c r="E159" s="103" t="inlineStr">
        <is>
          <t>cái</t>
        </is>
      </c>
      <c r="F159" s="104" t="n">
        <v>121</v>
      </c>
      <c r="G159" s="105" t="n">
        <v>401880</v>
      </c>
      <c r="H159" s="105" t="n">
        <v>48627480</v>
      </c>
      <c r="I159" s="106" t="inlineStr">
        <is>
          <t>cửa nan thẳng 1 lớp + OBD</t>
        </is>
      </c>
      <c r="K159" s="107" t="inlineStr">
        <is>
          <t>SAG Cửa cấp gió tươi kèm OBD KT 1200x150</t>
        </is>
      </c>
      <c r="L159" s="108" t="inlineStr">
        <is>
          <t>vcd</t>
        </is>
      </c>
      <c r="M159" s="108" t="n">
        <v>1200</v>
      </c>
      <c r="N159" s="108" t="n">
        <v>150</v>
      </c>
      <c r="O159" s="63" t="n"/>
      <c r="P159" s="63" t="n"/>
      <c r="Q159" s="63">
        <f>P159*M159/1000</f>
        <v/>
      </c>
      <c r="R159" s="63" t="n"/>
      <c r="S159" s="66" t="n">
        <v>1200</v>
      </c>
      <c r="T159" s="63" t="n"/>
      <c r="U159" s="63" t="n"/>
      <c r="V159" s="67" t="n">
        <v>0.18</v>
      </c>
      <c r="W159" s="68" t="n">
        <v>401880</v>
      </c>
      <c r="X159" s="68" t="n">
        <v>1</v>
      </c>
      <c r="Z159" t="n">
        <v>0</v>
      </c>
      <c r="AA159" t="n">
        <v>0</v>
      </c>
    </row>
    <row r="160" ht="35.1" customHeight="1">
      <c r="A160" s="99" t="inlineStr">
        <is>
          <t>13</t>
        </is>
      </c>
      <c r="B160" s="100" t="inlineStr">
        <is>
          <t>EAG Cửa hút gió thải kèm OBD KT 1200x150</t>
        </is>
      </c>
      <c r="C160" s="101" t="inlineStr">
        <is>
          <t>Nhôm sơn tĩnh điện</t>
        </is>
      </c>
      <c r="D160" s="102" t="inlineStr">
        <is>
          <t>Kaiyo Việt Nam</t>
        </is>
      </c>
      <c r="E160" s="103" t="inlineStr">
        <is>
          <t>cái</t>
        </is>
      </c>
      <c r="F160" s="104" t="n">
        <v>121</v>
      </c>
      <c r="G160" s="105" t="n">
        <v>401880</v>
      </c>
      <c r="H160" s="105" t="n">
        <v>48627480</v>
      </c>
      <c r="I160" s="106" t="inlineStr">
        <is>
          <t>cửa nan thẳng 1 lớp + OBD</t>
        </is>
      </c>
      <c r="K160" s="107" t="inlineStr">
        <is>
          <t>EAG Cửa hút gió thải kèm OBD KT 1200x150</t>
        </is>
      </c>
      <c r="L160" s="108" t="inlineStr">
        <is>
          <t>c</t>
        </is>
      </c>
      <c r="M160" s="108" t="n">
        <v>1200</v>
      </c>
      <c r="N160" s="108" t="n">
        <v>150</v>
      </c>
      <c r="O160" s="63" t="n"/>
      <c r="P160" s="63" t="n"/>
      <c r="Q160" s="63">
        <f>P160*M160/1000</f>
        <v/>
      </c>
      <c r="R160" s="63" t="n"/>
      <c r="S160" s="66" t="n">
        <v>1200</v>
      </c>
      <c r="T160" s="63" t="n"/>
      <c r="U160" s="63" t="n"/>
      <c r="V160" s="67" t="n">
        <v>0.18</v>
      </c>
      <c r="W160" s="68" t="n">
        <v>401880</v>
      </c>
      <c r="X160" s="68" t="n">
        <v>1</v>
      </c>
      <c r="Z160" t="n">
        <v>0</v>
      </c>
      <c r="AA160" t="n">
        <v>0</v>
      </c>
    </row>
    <row r="161" ht="35.1" customHeight="1">
      <c r="A161" s="99" t="inlineStr">
        <is>
          <t>14</t>
        </is>
      </c>
      <c r="B161" s="100" t="inlineStr">
        <is>
          <t>EAG Cửa hút gió thải kèm OBD KT 300x200</t>
        </is>
      </c>
      <c r="C161" s="101" t="inlineStr">
        <is>
          <t>Nhôm sơn tĩnh điện</t>
        </is>
      </c>
      <c r="D161" s="102" t="inlineStr">
        <is>
          <t>Kaiyo Việt Nam</t>
        </is>
      </c>
      <c r="E161" s="103" t="inlineStr">
        <is>
          <t>cái</t>
        </is>
      </c>
      <c r="F161" s="104" t="n">
        <v>30</v>
      </c>
      <c r="G161" s="105" t="n">
        <v>144670</v>
      </c>
      <c r="H161" s="105" t="n">
        <v>4340100</v>
      </c>
      <c r="I161" s="106" t="inlineStr">
        <is>
          <t>cửa nan thẳng 1 lớp + OBD</t>
        </is>
      </c>
      <c r="K161" s="107" t="inlineStr">
        <is>
          <t>EAG Cửa hút gió thải kèm OBD KT 300x200</t>
        </is>
      </c>
      <c r="L161" s="108" t="inlineStr">
        <is>
          <t>c</t>
        </is>
      </c>
      <c r="M161" s="108" t="n">
        <v>300</v>
      </c>
      <c r="N161" s="108" t="n">
        <v>200</v>
      </c>
      <c r="O161" s="63" t="n"/>
      <c r="P161" s="63" t="n"/>
      <c r="Q161" s="63">
        <f>P161*M161/1000</f>
        <v/>
      </c>
      <c r="R161" s="63" t="n"/>
      <c r="S161" s="66" t="n">
        <v>1200</v>
      </c>
      <c r="T161" s="63" t="n"/>
      <c r="U161" s="63" t="n"/>
      <c r="V161" s="67" t="n">
        <v>0.06</v>
      </c>
      <c r="W161" s="68" t="n">
        <v>144670</v>
      </c>
      <c r="X161" s="68" t="n">
        <v>1</v>
      </c>
      <c r="Z161" t="n">
        <v>0</v>
      </c>
      <c r="AA161" t="n">
        <v>0</v>
      </c>
    </row>
    <row r="162" ht="35.1" customHeight="1">
      <c r="A162" s="99" t="inlineStr">
        <is>
          <t>15</t>
        </is>
      </c>
      <c r="B162" s="100" t="inlineStr">
        <is>
          <t>EAG Cửa hút gió thải kèm OBD KT 250x250</t>
        </is>
      </c>
      <c r="C162" s="101" t="inlineStr">
        <is>
          <t>Nhôm sơn tĩnh điện</t>
        </is>
      </c>
      <c r="D162" s="102" t="inlineStr">
        <is>
          <t>Kaiyo Việt Nam</t>
        </is>
      </c>
      <c r="E162" s="103" t="inlineStr">
        <is>
          <t>cái</t>
        </is>
      </c>
      <c r="F162" s="104" t="n">
        <v>121</v>
      </c>
      <c r="G162" s="105" t="n">
        <v>148537.5</v>
      </c>
      <c r="H162" s="105" t="n">
        <v>17973037.5</v>
      </c>
      <c r="I162" s="106" t="inlineStr">
        <is>
          <t>cửa nan thẳng 1 lớp + OBD</t>
        </is>
      </c>
      <c r="K162" s="107" t="inlineStr">
        <is>
          <t>EAG Cửa hút gió thải kèm OBD KT 250x250</t>
        </is>
      </c>
      <c r="L162" s="108" t="inlineStr">
        <is>
          <t>c</t>
        </is>
      </c>
      <c r="M162" s="108" t="n">
        <v>250</v>
      </c>
      <c r="N162" s="108" t="n">
        <v>250</v>
      </c>
      <c r="O162" s="63" t="n"/>
      <c r="P162" s="63" t="n"/>
      <c r="Q162" s="63">
        <f>P162*M162/1000</f>
        <v/>
      </c>
      <c r="R162" s="63" t="n"/>
      <c r="S162" s="66" t="n">
        <v>1200</v>
      </c>
      <c r="T162" s="63" t="n"/>
      <c r="U162" s="63" t="n"/>
      <c r="V162" s="67" t="n">
        <v>0.0625</v>
      </c>
      <c r="W162" s="68" t="n">
        <v>148537.5</v>
      </c>
      <c r="X162" s="68" t="n">
        <v>1</v>
      </c>
      <c r="Z162" t="n">
        <v>0</v>
      </c>
      <c r="AA162" t="n">
        <v>0</v>
      </c>
    </row>
    <row r="163" ht="24.95" customHeight="1">
      <c r="A163" s="99" t="inlineStr">
        <is>
          <t>16</t>
        </is>
      </c>
      <c r="B163" s="100" t="inlineStr">
        <is>
          <t>Trunking cho ống đồng KT800x400</t>
        </is>
      </c>
      <c r="C163" s="101" t="n"/>
      <c r="D163" s="102" t="n"/>
      <c r="E163" s="103" t="inlineStr">
        <is>
          <t>m</t>
        </is>
      </c>
      <c r="F163" s="104" t="n">
        <v>45</v>
      </c>
      <c r="G163" s="105" t="n"/>
      <c r="H163" s="105" t="n">
        <v>0</v>
      </c>
      <c r="I163" s="106" t="n"/>
      <c r="K163" s="107" t="inlineStr">
        <is>
          <t>Trunking cho ống đồng KT800x400</t>
        </is>
      </c>
      <c r="L163" s="108" t="inlineStr">
        <is>
          <t>t</t>
        </is>
      </c>
      <c r="M163" s="108" t="n">
        <v>800</v>
      </c>
      <c r="N163" s="108" t="n">
        <v>400</v>
      </c>
      <c r="O163" s="63" t="n"/>
      <c r="P163" s="63" t="n"/>
      <c r="Q163" s="64" t="n"/>
      <c r="R163" s="65" t="n"/>
      <c r="S163" s="66" t="n">
        <v>1200</v>
      </c>
      <c r="T163" s="63" t="n"/>
      <c r="U163" s="63" t="n"/>
      <c r="V163" s="97" t="n">
        <v>0</v>
      </c>
      <c r="W163" s="68" t="n">
        <v>0</v>
      </c>
      <c r="X163" s="98" t="n">
        <v>1</v>
      </c>
      <c r="Z163" t="n">
        <v>0</v>
      </c>
      <c r="AA163" t="n">
        <v>0</v>
      </c>
    </row>
    <row r="164" ht="24.95" customHeight="1">
      <c r="A164" s="99" t="inlineStr">
        <is>
          <t>17</t>
        </is>
      </c>
      <c r="B164" s="100" t="inlineStr">
        <is>
          <t>Vật tư phụ</t>
        </is>
      </c>
      <c r="C164" s="101" t="n"/>
      <c r="D164" s="102" t="n"/>
      <c r="E164" s="103" t="inlineStr">
        <is>
          <t>lô</t>
        </is>
      </c>
      <c r="F164" s="104" t="n">
        <v>1</v>
      </c>
      <c r="G164" s="105" t="n"/>
      <c r="H164" s="105" t="n">
        <v>0</v>
      </c>
      <c r="I164" s="106" t="n"/>
      <c r="K164" s="107" t="inlineStr">
        <is>
          <t>Vật tư phụ</t>
        </is>
      </c>
      <c r="L164" s="108" t="inlineStr"/>
      <c r="M164" s="108" t="n"/>
      <c r="N164" s="108" t="n"/>
      <c r="O164" s="63" t="n"/>
      <c r="P164" s="63" t="n"/>
      <c r="Q164" s="64" t="n"/>
      <c r="R164" s="65" t="n"/>
      <c r="S164" s="66" t="n">
        <v>1200</v>
      </c>
      <c r="T164" s="63" t="n"/>
      <c r="U164" s="63" t="n"/>
      <c r="V164" s="97" t="n">
        <v>0</v>
      </c>
      <c r="W164" s="68" t="n">
        <v>0</v>
      </c>
      <c r="X164" s="98" t="n">
        <v>0</v>
      </c>
      <c r="Z164" t="n">
        <v>0</v>
      </c>
      <c r="AA164" t="n">
        <v>0</v>
      </c>
    </row>
    <row r="165" ht="24.95" customHeight="1">
      <c r="A165" s="151" t="n"/>
      <c r="B165" s="152" t="inlineStr">
        <is>
          <t>Hệ thống Điện cấp nguồn + Điều khiển</t>
        </is>
      </c>
      <c r="C165" s="101" t="n"/>
      <c r="D165" s="102" t="n"/>
      <c r="E165" s="103" t="n"/>
      <c r="F165" s="104" t="n"/>
      <c r="G165" s="105" t="n"/>
      <c r="H165" s="105" t="n"/>
      <c r="I165" s="106" t="n"/>
      <c r="K165" s="107">
        <f>+B165</f>
        <v/>
      </c>
      <c r="L165" s="108" t="n"/>
      <c r="M165" s="108" t="n"/>
      <c r="N165" s="108" t="n"/>
      <c r="O165" s="63" t="n"/>
      <c r="P165" s="63" t="n"/>
      <c r="Q165" s="64" t="n"/>
      <c r="R165" s="65" t="n"/>
      <c r="S165" s="66" t="n"/>
      <c r="T165" s="63" t="n"/>
      <c r="U165" s="63" t="n"/>
      <c r="V165" s="97">
        <f>(IF(OR(L165="t",L165="TA",),(M165+N165)*2/1000*S165/1000,(IF(OR(L165="F",L165="M"),(M165*N165),IF(L165="d",(M165+N165+U165/1/2)*2*S165,IF(L165="tb",((M165+N165)*2*S165+M165*N165),IF(OR(L165="g",L165="n"),((M165+O165)*SQRT((S165)^2+((N165-P165)/2)^2)+(N165+P165)*SQRT((S165)^2+((M165-O165)/2)^2)),IF(LEFT(L165,1)="c",(2*(PI()*((M165+T165)^2-T165^2)+N165*(PI()*(M165+T165)+PI()*T165))*(U165/360)),IF(LEFT(L165,2)="vt",((M165+O165)*SQRT((S165)^2+((N165-P165)/2)^2)+(N165+P165)*SQRT((S165)^2+((M165-O165)/2)^2)+((T165+200)^2-(T165/2)^2*3.14)),IF(L165="tt",(2*(M165+N165)*(S165-1.5*O165)+(PI()*(3*O165+2/3*M165)*(O165+2/3*M165+P165+N165)-(P165+N165)*(PI()*1.5*O165))/8+(PI()*(3*Q165+2/3*M165)*(Q165+2/3*M165+R165+N165)-(R165+N165)*(PI()*1.5*Q165))/8),0))))))))/10^6))</f>
        <v/>
      </c>
      <c r="W165" s="68" t="n"/>
      <c r="X165" s="98" t="n"/>
    </row>
    <row r="166" ht="39.95" customHeight="1">
      <c r="A166" s="99" t="inlineStr">
        <is>
          <t>1</t>
        </is>
      </c>
      <c r="B166" s="100" t="inlineStr">
        <is>
          <t>Dây tín hiệu nguồn kết nối dàn nóng và dàn lạnh
Cu/PVC 2x1.5mm2</t>
        </is>
      </c>
      <c r="C166" s="101" t="n"/>
      <c r="D166" s="102" t="n"/>
      <c r="E166" s="103" t="inlineStr">
        <is>
          <t>m</t>
        </is>
      </c>
      <c r="F166" s="104" t="n">
        <v>2935.4</v>
      </c>
      <c r="G166" s="105" t="n"/>
      <c r="H166" s="105" t="n">
        <v>0</v>
      </c>
      <c r="I166" s="106" t="n"/>
      <c r="K166" s="107" t="inlineStr">
        <is>
          <t>Dây tín hiệu nguồn kết nối dàn nóng và dàn lạnh
Cu/PVC 2x1.5mm2</t>
        </is>
      </c>
      <c r="L166" s="108" t="inlineStr"/>
      <c r="M166" s="108" t="n">
        <v>2</v>
      </c>
      <c r="N166" s="108" t="n">
        <v>1.5</v>
      </c>
      <c r="O166" s="63" t="n"/>
      <c r="P166" s="63" t="n"/>
      <c r="Q166" s="64" t="n"/>
      <c r="R166" s="65" t="n"/>
      <c r="S166" s="66" t="n">
        <v>1200</v>
      </c>
      <c r="T166" s="63" t="n"/>
      <c r="U166" s="63" t="n"/>
      <c r="V166" s="97" t="n">
        <v>0</v>
      </c>
      <c r="W166" s="68" t="n">
        <v>0</v>
      </c>
      <c r="X166" s="98" t="n">
        <v>0</v>
      </c>
      <c r="Z166" t="n">
        <v>0</v>
      </c>
      <c r="AA166" t="n">
        <v>0</v>
      </c>
    </row>
    <row r="167" ht="39.95" customHeight="1">
      <c r="A167" s="99" t="inlineStr">
        <is>
          <t>2</t>
        </is>
      </c>
      <c r="B167" s="100" t="inlineStr">
        <is>
          <t>Dây tín hiệu nguồn kết nối dàn lạnh và điều khiển gắn tường
Cu/PVC 2x1.5mm2</t>
        </is>
      </c>
      <c r="C167" s="101" t="n"/>
      <c r="D167" s="102" t="n"/>
      <c r="E167" s="103" t="inlineStr">
        <is>
          <t>m</t>
        </is>
      </c>
      <c r="F167" s="104" t="n">
        <v>1750</v>
      </c>
      <c r="G167" s="105" t="n"/>
      <c r="H167" s="105" t="n">
        <v>0</v>
      </c>
      <c r="I167" s="106" t="n"/>
      <c r="K167" s="107" t="inlineStr">
        <is>
          <t>Dây tín hiệu nguồn kết nối dàn lạnh và điều khiển gắn tường
Cu/PVC 2x1.5mm2</t>
        </is>
      </c>
      <c r="L167" s="108" t="inlineStr"/>
      <c r="M167" s="108" t="n">
        <v>2</v>
      </c>
      <c r="N167" s="108" t="n">
        <v>1.5</v>
      </c>
      <c r="O167" s="63" t="n"/>
      <c r="P167" s="63" t="n"/>
      <c r="Q167" s="64" t="n"/>
      <c r="R167" s="65" t="n"/>
      <c r="S167" s="66" t="n">
        <v>1200</v>
      </c>
      <c r="T167" s="63" t="n"/>
      <c r="U167" s="63" t="n"/>
      <c r="V167" s="97" t="n">
        <v>0</v>
      </c>
      <c r="W167" s="68" t="n">
        <v>0</v>
      </c>
      <c r="X167" s="98" t="n">
        <v>0</v>
      </c>
      <c r="Z167" t="n">
        <v>0</v>
      </c>
      <c r="AA167" t="n">
        <v>0</v>
      </c>
    </row>
    <row r="168" ht="39.95" customHeight="1">
      <c r="A168" s="99" t="inlineStr">
        <is>
          <t>3</t>
        </is>
      </c>
      <c r="B168" s="100" t="inlineStr">
        <is>
          <t>Dây tín hiệu nguồn kết nối dàn nóng và dàn lạnh
Cu/PVC 5x1.5mm2</t>
        </is>
      </c>
      <c r="C168" s="101" t="n"/>
      <c r="D168" s="102" t="n"/>
      <c r="E168" s="103" t="inlineStr">
        <is>
          <t>m</t>
        </is>
      </c>
      <c r="F168" s="104" t="n">
        <v>5</v>
      </c>
      <c r="G168" s="105" t="n"/>
      <c r="H168" s="105" t="n">
        <v>0</v>
      </c>
      <c r="I168" s="106" t="n"/>
      <c r="K168" s="107" t="inlineStr">
        <is>
          <t>Dây tín hiệu nguồn kết nối dàn nóng và dàn lạnh
Cu/PVC 5x1.5mm2</t>
        </is>
      </c>
      <c r="L168" s="108" t="inlineStr"/>
      <c r="M168" s="108" t="n">
        <v>5</v>
      </c>
      <c r="N168" s="108" t="n">
        <v>1.5</v>
      </c>
      <c r="O168" s="63" t="n"/>
      <c r="P168" s="63" t="n"/>
      <c r="Q168" s="64" t="n"/>
      <c r="R168" s="65" t="n"/>
      <c r="S168" s="66" t="n">
        <v>1200</v>
      </c>
      <c r="T168" s="63" t="n"/>
      <c r="U168" s="63" t="n"/>
      <c r="V168" s="97" t="n">
        <v>0</v>
      </c>
      <c r="W168" s="68" t="n">
        <v>0</v>
      </c>
      <c r="X168" s="98" t="n">
        <v>0</v>
      </c>
      <c r="Z168" t="n">
        <v>0</v>
      </c>
      <c r="AA168" t="n">
        <v>0</v>
      </c>
    </row>
    <row r="169" ht="24.95" customHeight="1">
      <c r="A169" s="99" t="inlineStr">
        <is>
          <t>4</t>
        </is>
      </c>
      <c r="B169" s="100" t="inlineStr">
        <is>
          <t>Vật tư phụ</t>
        </is>
      </c>
      <c r="C169" s="101" t="n"/>
      <c r="D169" s="102" t="n"/>
      <c r="E169" s="103" t="inlineStr">
        <is>
          <t>lô</t>
        </is>
      </c>
      <c r="F169" s="104" t="n">
        <v>1</v>
      </c>
      <c r="G169" s="105" t="n"/>
      <c r="H169" s="105" t="n">
        <v>0</v>
      </c>
      <c r="I169" s="106" t="n"/>
      <c r="K169" s="107" t="inlineStr">
        <is>
          <t>Vật tư phụ</t>
        </is>
      </c>
      <c r="L169" s="108" t="inlineStr"/>
      <c r="M169" s="108" t="n"/>
      <c r="N169" s="108" t="n"/>
      <c r="O169" s="63" t="n"/>
      <c r="P169" s="63" t="n"/>
      <c r="Q169" s="64" t="n"/>
      <c r="R169" s="65" t="n"/>
      <c r="S169" s="66" t="n">
        <v>1200</v>
      </c>
      <c r="T169" s="63" t="n"/>
      <c r="U169" s="63" t="n"/>
      <c r="V169" s="97" t="n">
        <v>0</v>
      </c>
      <c r="W169" s="68" t="n">
        <v>0</v>
      </c>
      <c r="X169" s="98" t="n">
        <v>0</v>
      </c>
      <c r="Z169" t="n">
        <v>0</v>
      </c>
      <c r="AA169" t="n">
        <v>0</v>
      </c>
    </row>
    <row r="170" ht="24.95" customHeight="1">
      <c r="A170" s="151" t="inlineStr">
        <is>
          <t>A</t>
        </is>
      </c>
      <c r="B170" s="152" t="inlineStr">
        <is>
          <t>KHU CĂN HỘ</t>
        </is>
      </c>
      <c r="C170" s="101" t="n"/>
      <c r="D170" s="102" t="n"/>
      <c r="E170" s="103" t="n"/>
      <c r="F170" s="104" t="n"/>
      <c r="G170" s="105" t="n"/>
      <c r="H170" s="105" t="n"/>
      <c r="I170" s="106" t="n"/>
      <c r="K170" s="107">
        <f>+B170</f>
        <v/>
      </c>
      <c r="L170" s="108" t="n"/>
      <c r="M170" s="108" t="n"/>
      <c r="N170" s="108" t="n"/>
      <c r="O170" s="63" t="n"/>
      <c r="P170" s="63" t="n"/>
      <c r="Q170" s="64" t="n"/>
      <c r="R170" s="65" t="n"/>
      <c r="S170" s="66" t="n"/>
      <c r="T170" s="63" t="n"/>
      <c r="U170" s="63" t="n"/>
      <c r="V170" s="97">
        <f>(IF(OR(L170="t",L170="TA",),(M170+N170)*2/1000*S170/1000,(IF(OR(L170="F",L170="M"),(M170*N170),IF(L170="d",(M170+N170+U170/1/2)*2*S170,IF(L170="tb",((M170+N170)*2*S170+M170*N170),IF(OR(L170="g",L170="n"),((M170+O170)*SQRT((S170)^2+((N170-P170)/2)^2)+(N170+P170)*SQRT((S170)^2+((M170-O170)/2)^2)),IF(LEFT(L170,1)="c",(2*(PI()*((M170+T170)^2-T170^2)+N170*(PI()*(M170+T170)+PI()*T170))*(U170/360)),IF(LEFT(L170,2)="vt",((M170+O170)*SQRT((S170)^2+((N170-P170)/2)^2)+(N170+P170)*SQRT((S170)^2+((M170-O170)/2)^2)+((T170+200)^2-(T170/2)^2*3.14)),IF(L170="tt",(2*(M170+N170)*(S170-1.5*O170)+(PI()*(3*O170+2/3*M170)*(O170+2/3*M170+P170+N170)-(P170+N170)*(PI()*1.5*O170))/8+(PI()*(3*Q170+2/3*M170)*(Q170+2/3*M170+R170+N170)-(R170+N170)*(PI()*1.5*Q170))/8),0))))))))/10^6))</f>
        <v/>
      </c>
      <c r="W170" s="68" t="n"/>
      <c r="X170" s="98" t="n"/>
    </row>
    <row r="171" ht="24.95" customHeight="1">
      <c r="A171" s="151" t="inlineStr">
        <is>
          <t>I</t>
        </is>
      </c>
      <c r="B171" s="152" t="inlineStr">
        <is>
          <t>THIẾT BỊ</t>
        </is>
      </c>
      <c r="C171" s="101" t="n"/>
      <c r="D171" s="102" t="n"/>
      <c r="E171" s="103" t="n"/>
      <c r="F171" s="104" t="n"/>
      <c r="G171" s="105" t="n"/>
      <c r="H171" s="105" t="n"/>
      <c r="I171" s="106" t="n"/>
      <c r="K171" s="107">
        <f>+B171</f>
        <v/>
      </c>
      <c r="L171" s="108" t="n"/>
      <c r="M171" s="108" t="n"/>
      <c r="N171" s="108" t="n"/>
      <c r="O171" s="63" t="n"/>
      <c r="P171" s="63" t="n"/>
      <c r="Q171" s="64" t="n"/>
      <c r="R171" s="65" t="n"/>
      <c r="S171" s="66" t="n"/>
      <c r="T171" s="63" t="n"/>
      <c r="U171" s="63" t="n"/>
      <c r="V171" s="97">
        <f>(IF(OR(L171="t",L171="TA",),(M171+N171)*2/1000*S171/1000,(IF(OR(L171="F",L171="M"),(M171*N171),IF(L171="d",(M171+N171+U171/1/2)*2*S171,IF(L171="tb",((M171+N171)*2*S171+M171*N171),IF(OR(L171="g",L171="n"),((M171+O171)*SQRT((S171)^2+((N171-P171)/2)^2)+(N171+P171)*SQRT((S171)^2+((M171-O171)/2)^2)),IF(LEFT(L171,1)="c",(2*(PI()*((M171+T171)^2-T171^2)+N171*(PI()*(M171+T171)+PI()*T171))*(U171/360)),IF(LEFT(L171,2)="vt",((M171+O171)*SQRT((S171)^2+((N171-P171)/2)^2)+(N171+P171)*SQRT((S171)^2+((M171-O171)/2)^2)+((T171+200)^2-(T171/2)^2*3.14)),IF(L171="tt",(2*(M171+N171)*(S171-1.5*O171)+(PI()*(3*O171+2/3*M171)*(O171+2/3*M171+P171+N171)-(P171+N171)*(PI()*1.5*O171))/8+(PI()*(3*Q171+2/3*M171)*(Q171+2/3*M171+R171+N171)-(R171+N171)*(PI()*1.5*Q171))/8),0))))))))/10^6))</f>
        <v/>
      </c>
      <c r="W171" s="68" t="n"/>
      <c r="X171" s="98" t="n"/>
    </row>
    <row r="172" ht="24.95" customHeight="1">
      <c r="A172" s="151" t="n"/>
      <c r="B172" s="152" t="inlineStr">
        <is>
          <t>Điều hòa cục bộ treo tường</t>
        </is>
      </c>
      <c r="C172" s="101" t="n"/>
      <c r="D172" s="102" t="n"/>
      <c r="E172" s="103" t="n"/>
      <c r="F172" s="104" t="n"/>
      <c r="G172" s="105" t="n"/>
      <c r="H172" s="105" t="n"/>
      <c r="I172" s="106" t="n"/>
      <c r="K172" s="107">
        <f>+B172</f>
        <v/>
      </c>
      <c r="L172" s="108" t="n"/>
      <c r="M172" s="108" t="n"/>
      <c r="N172" s="108" t="n"/>
      <c r="O172" s="63" t="n"/>
      <c r="P172" s="63" t="n"/>
      <c r="Q172" s="64" t="n"/>
      <c r="R172" s="65" t="n"/>
      <c r="S172" s="66" t="n"/>
      <c r="T172" s="63" t="n"/>
      <c r="U172" s="63" t="n"/>
      <c r="V172" s="97">
        <f>(IF(OR(L172="t",L172="TA",),(M172+N172)*2/1000*S172/1000,(IF(OR(L172="F",L172="M"),(M172*N172),IF(L172="d",(M172+N172+U172/1/2)*2*S172,IF(L172="tb",((M172+N172)*2*S172+M172*N172),IF(OR(L172="g",L172="n"),((M172+O172)*SQRT((S172)^2+((N172-P172)/2)^2)+(N172+P172)*SQRT((S172)^2+((M172-O172)/2)^2)),IF(LEFT(L172,1)="c",(2*(PI()*((M172+T172)^2-T172^2)+N172*(PI()*(M172+T172)+PI()*T172))*(U172/360)),IF(LEFT(L172,2)="vt",((M172+O172)*SQRT((S172)^2+((N172-P172)/2)^2)+(N172+P172)*SQRT((S172)^2+((M172-O172)/2)^2)+((T172+200)^2-(T172/2)^2*3.14)),IF(L172="tt",(2*(M172+N172)*(S172-1.5*O172)+(PI()*(3*O172+2/3*M172)*(O172+2/3*M172+P172+N172)-(P172+N172)*(PI()*1.5*O172))/8+(PI()*(3*Q172+2/3*M172)*(Q172+2/3*M172+R172+N172)-(R172+N172)*(PI()*1.5*Q172))/8),0))))))))/10^6))</f>
        <v/>
      </c>
      <c r="W172" s="68" t="n"/>
      <c r="X172" s="98" t="n"/>
    </row>
    <row r="173" ht="39.95" customHeight="1">
      <c r="A173" s="99" t="inlineStr">
        <is>
          <t>1</t>
        </is>
      </c>
      <c r="B173" s="100" t="inlineStr">
        <is>
          <t>Điều hòa cục bộ treo tường
Công suất lạnh: 9000 BTU/h</t>
        </is>
      </c>
      <c r="C173" s="101" t="n"/>
      <c r="D173" s="102" t="n"/>
      <c r="E173" s="103" t="inlineStr">
        <is>
          <t>Bộ</t>
        </is>
      </c>
      <c r="F173" s="104" t="n">
        <v>298</v>
      </c>
      <c r="G173" s="105" t="n"/>
      <c r="H173" s="105" t="n">
        <v>0</v>
      </c>
      <c r="I173" s="106" t="n"/>
      <c r="K173" s="107" t="inlineStr">
        <is>
          <t>Điều hòa cục bộ treo tường
Công suất lạnh: 9000 BTU/h</t>
        </is>
      </c>
      <c r="L173" s="108" t="inlineStr"/>
      <c r="M173" s="108" t="n"/>
      <c r="N173" s="108" t="n"/>
      <c r="O173" s="63" t="n"/>
      <c r="P173" s="63" t="n"/>
      <c r="Q173" s="64" t="n"/>
      <c r="R173" s="65" t="n"/>
      <c r="S173" s="66" t="n">
        <v>1200</v>
      </c>
      <c r="T173" s="63" t="n"/>
      <c r="U173" s="63" t="n"/>
      <c r="V173" s="97" t="n">
        <v>0</v>
      </c>
      <c r="W173" s="68" t="n">
        <v>0</v>
      </c>
      <c r="X173" s="98" t="n">
        <v>0</v>
      </c>
      <c r="Z173" t="n">
        <v>0</v>
      </c>
      <c r="AA173" t="n">
        <v>0</v>
      </c>
    </row>
    <row r="174" ht="39.95" customHeight="1">
      <c r="A174" s="99" t="inlineStr">
        <is>
          <t>2</t>
        </is>
      </c>
      <c r="B174" s="100" t="inlineStr">
        <is>
          <t>Điều hòa cục bộ treo tường
Công suất lạnh: 24000 BTU/h</t>
        </is>
      </c>
      <c r="C174" s="101" t="n"/>
      <c r="D174" s="102" t="n"/>
      <c r="E174" s="103" t="inlineStr">
        <is>
          <t>Bộ</t>
        </is>
      </c>
      <c r="F174" s="104" t="n">
        <v>134</v>
      </c>
      <c r="G174" s="105" t="n"/>
      <c r="H174" s="105" t="n">
        <v>0</v>
      </c>
      <c r="I174" s="106" t="n"/>
      <c r="K174" s="107" t="inlineStr">
        <is>
          <t>Điều hòa cục bộ treo tường
Công suất lạnh: 24000 BTU/h</t>
        </is>
      </c>
      <c r="L174" s="108" t="inlineStr"/>
      <c r="M174" s="108" t="n"/>
      <c r="N174" s="108" t="n"/>
      <c r="O174" s="63" t="n"/>
      <c r="P174" s="63" t="n"/>
      <c r="Q174" s="64" t="n"/>
      <c r="R174" s="65" t="n"/>
      <c r="S174" s="66" t="n">
        <v>1200</v>
      </c>
      <c r="T174" s="63" t="n"/>
      <c r="U174" s="63" t="n"/>
      <c r="V174" s="97" t="n">
        <v>0</v>
      </c>
      <c r="W174" s="68" t="n">
        <v>0</v>
      </c>
      <c r="X174" s="98" t="n">
        <v>0</v>
      </c>
      <c r="Z174" t="n">
        <v>0</v>
      </c>
      <c r="AA174" t="n">
        <v>0</v>
      </c>
    </row>
    <row r="175" ht="24.95" customHeight="1">
      <c r="A175" s="99" t="inlineStr">
        <is>
          <t>3</t>
        </is>
      </c>
      <c r="B175" s="100" t="inlineStr">
        <is>
          <t>Bộ điều khiển điều hòa</t>
        </is>
      </c>
      <c r="C175" s="101" t="n"/>
      <c r="D175" s="102" t="n"/>
      <c r="E175" s="103" t="inlineStr">
        <is>
          <t>Bộ</t>
        </is>
      </c>
      <c r="F175" s="104" t="n">
        <v>432</v>
      </c>
      <c r="G175" s="105" t="n"/>
      <c r="H175" s="105" t="n">
        <v>0</v>
      </c>
      <c r="I175" s="106" t="n"/>
      <c r="K175" s="107" t="inlineStr">
        <is>
          <t>Bộ điều khiển điều hòa</t>
        </is>
      </c>
      <c r="L175" s="108" t="inlineStr"/>
      <c r="M175" s="108" t="n"/>
      <c r="N175" s="108" t="n"/>
      <c r="O175" s="63" t="n"/>
      <c r="P175" s="63" t="n"/>
      <c r="Q175" s="64" t="n"/>
      <c r="R175" s="65" t="n"/>
      <c r="S175" s="66" t="n">
        <v>1200</v>
      </c>
      <c r="T175" s="63" t="n"/>
      <c r="U175" s="63" t="n"/>
      <c r="V175" s="97" t="n">
        <v>0</v>
      </c>
      <c r="W175" s="68" t="n">
        <v>0</v>
      </c>
      <c r="X175" s="98" t="n">
        <v>0</v>
      </c>
      <c r="Z175" t="n">
        <v>0</v>
      </c>
      <c r="AA175" t="n">
        <v>0</v>
      </c>
    </row>
    <row r="176" ht="24.95" customHeight="1">
      <c r="A176" s="99" t="inlineStr">
        <is>
          <t>4</t>
        </is>
      </c>
      <c r="B176" s="100" t="inlineStr">
        <is>
          <t>Giá đỡ cho dàn Dàn nóng</t>
        </is>
      </c>
      <c r="C176" s="101" t="n"/>
      <c r="D176" s="102" t="n"/>
      <c r="E176" s="103" t="inlineStr">
        <is>
          <t>Bộ</t>
        </is>
      </c>
      <c r="F176" s="104" t="n">
        <v>432</v>
      </c>
      <c r="G176" s="105" t="n"/>
      <c r="H176" s="105" t="n">
        <v>0</v>
      </c>
      <c r="I176" s="106" t="n"/>
      <c r="K176" s="107" t="inlineStr">
        <is>
          <t>Giá đỡ cho dàn Dàn nóng</t>
        </is>
      </c>
      <c r="L176" s="108" t="inlineStr"/>
      <c r="M176" s="108" t="n"/>
      <c r="N176" s="108" t="n"/>
      <c r="O176" s="63" t="n"/>
      <c r="P176" s="63" t="n"/>
      <c r="Q176" s="64" t="n"/>
      <c r="R176" s="65" t="n"/>
      <c r="S176" s="66" t="n">
        <v>1200</v>
      </c>
      <c r="T176" s="63" t="n"/>
      <c r="U176" s="63" t="n"/>
      <c r="V176" s="97" t="n">
        <v>0</v>
      </c>
      <c r="W176" s="68" t="n">
        <v>0</v>
      </c>
      <c r="X176" s="98" t="n">
        <v>0</v>
      </c>
      <c r="Z176" t="n">
        <v>0</v>
      </c>
      <c r="AA176" t="n">
        <v>0</v>
      </c>
    </row>
    <row r="177" ht="24.95" customHeight="1">
      <c r="A177" s="99" t="inlineStr">
        <is>
          <t>5</t>
        </is>
      </c>
      <c r="B177" s="100" t="inlineStr">
        <is>
          <t>Vật tư phụ</t>
        </is>
      </c>
      <c r="C177" s="101" t="n"/>
      <c r="D177" s="102" t="n"/>
      <c r="E177" s="103" t="inlineStr">
        <is>
          <t>lô</t>
        </is>
      </c>
      <c r="F177" s="104" t="n">
        <v>1</v>
      </c>
      <c r="G177" s="105" t="n"/>
      <c r="H177" s="105" t="n">
        <v>0</v>
      </c>
      <c r="I177" s="106" t="n"/>
      <c r="K177" s="107" t="inlineStr">
        <is>
          <t>Vật tư phụ</t>
        </is>
      </c>
      <c r="L177" s="108" t="inlineStr"/>
      <c r="M177" s="108" t="n"/>
      <c r="N177" s="108" t="n"/>
      <c r="O177" s="63" t="n"/>
      <c r="P177" s="63" t="n"/>
      <c r="Q177" s="64" t="n"/>
      <c r="R177" s="65" t="n"/>
      <c r="S177" s="66" t="n">
        <v>1200</v>
      </c>
      <c r="T177" s="63" t="n"/>
      <c r="U177" s="63" t="n"/>
      <c r="V177" s="97" t="n">
        <v>0</v>
      </c>
      <c r="W177" s="68" t="n">
        <v>0</v>
      </c>
      <c r="X177" s="98" t="n">
        <v>0</v>
      </c>
      <c r="Z177" t="n">
        <v>0</v>
      </c>
      <c r="AA177" t="n">
        <v>0</v>
      </c>
    </row>
    <row r="178" ht="24.95" customHeight="1">
      <c r="A178" s="151" t="n"/>
      <c r="B178" s="152" t="inlineStr">
        <is>
          <t>Thiết bị thông gió</t>
        </is>
      </c>
      <c r="C178" s="101" t="n"/>
      <c r="D178" s="102" t="n"/>
      <c r="E178" s="103" t="n"/>
      <c r="F178" s="104" t="n"/>
      <c r="G178" s="105" t="n"/>
      <c r="H178" s="105" t="n"/>
      <c r="I178" s="106" t="n"/>
      <c r="K178" s="107">
        <f>+B178</f>
        <v/>
      </c>
      <c r="L178" s="108" t="n"/>
      <c r="M178" s="108" t="n"/>
      <c r="N178" s="108" t="n"/>
      <c r="O178" s="63" t="n"/>
      <c r="P178" s="63" t="n"/>
      <c r="Q178" s="64" t="n"/>
      <c r="R178" s="65" t="n"/>
      <c r="S178" s="66" t="n"/>
      <c r="T178" s="63" t="n"/>
      <c r="U178" s="63" t="n"/>
      <c r="V178" s="97">
        <f>(IF(OR(L178="t",L178="TA",),(M178+N178)*2/1000*S178/1000,(IF(OR(L178="F",L178="M"),(M178*N178),IF(L178="d",(M178+N178+U178/1/2)*2*S178,IF(L178="tb",((M178+N178)*2*S178+M178*N178),IF(OR(L178="g",L178="n"),((M178+O178)*SQRT((S178)^2+((N178-P178)/2)^2)+(N178+P178)*SQRT((S178)^2+((M178-O178)/2)^2)),IF(LEFT(L178,1)="c",(2*(PI()*((M178+T178)^2-T178^2)+N178*(PI()*(M178+T178)+PI()*T178))*(U178/360)),IF(LEFT(L178,2)="vt",((M178+O178)*SQRT((S178)^2+((N178-P178)/2)^2)+(N178+P178)*SQRT((S178)^2+((M178-O178)/2)^2)+((T178+200)^2-(T178/2)^2*3.14)),IF(L178="tt",(2*(M178+N178)*(S178-1.5*O178)+(PI()*(3*O178+2/3*M178)*(O178+2/3*M178+P178+N178)-(P178+N178)*(PI()*1.5*O178))/8+(PI()*(3*Q178+2/3*M178)*(Q178+2/3*M178+R178+N178)-(R178+N178)*(PI()*1.5*Q178))/8),0))))))))/10^6))</f>
        <v/>
      </c>
      <c r="W178" s="68" t="n"/>
      <c r="X178" s="98" t="n"/>
    </row>
    <row r="179" ht="39.95" customHeight="1">
      <c r="A179" s="99" t="inlineStr">
        <is>
          <t>1</t>
        </is>
      </c>
      <c r="B179" s="100" t="inlineStr">
        <is>
          <t>Quạt hút mùi vệ sinh âm trần nối ống gió
EAF  LL=120 m3/h</t>
        </is>
      </c>
      <c r="C179" s="101" t="n"/>
      <c r="D179" s="102" t="n"/>
      <c r="E179" s="103" t="inlineStr">
        <is>
          <t>Cái</t>
        </is>
      </c>
      <c r="F179" s="104" t="n">
        <v>268</v>
      </c>
      <c r="G179" s="105" t="n"/>
      <c r="H179" s="105" t="n">
        <v>0</v>
      </c>
      <c r="I179" s="106" t="n"/>
      <c r="K179" s="107" t="inlineStr">
        <is>
          <t>Quạt hút mùi vệ sinh âm trần nối ống gió
EAF  LL=120 m3/h</t>
        </is>
      </c>
      <c r="L179" s="108" t="inlineStr">
        <is>
          <t>t</t>
        </is>
      </c>
      <c r="M179" s="108" t="n"/>
      <c r="N179" s="108" t="n"/>
      <c r="O179" s="63" t="n"/>
      <c r="P179" s="63" t="n"/>
      <c r="Q179" s="64" t="n"/>
      <c r="R179" s="65" t="n"/>
      <c r="S179" s="66" t="n">
        <v>1200</v>
      </c>
      <c r="T179" s="63" t="n"/>
      <c r="U179" s="63" t="n"/>
      <c r="V179" s="97" t="n">
        <v>0</v>
      </c>
      <c r="W179" s="68" t="n">
        <v>0</v>
      </c>
      <c r="X179" s="98" t="n">
        <v>1</v>
      </c>
      <c r="Z179" t="n">
        <v>0</v>
      </c>
      <c r="AA179" t="n">
        <v>0</v>
      </c>
    </row>
    <row r="180" ht="24.95" customHeight="1">
      <c r="A180" s="151" t="inlineStr">
        <is>
          <t>III</t>
        </is>
      </c>
      <c r="B180" s="152" t="inlineStr">
        <is>
          <t xml:space="preserve">Vật tư </t>
        </is>
      </c>
      <c r="C180" s="101" t="n"/>
      <c r="D180" s="102" t="n"/>
      <c r="E180" s="103" t="n"/>
      <c r="F180" s="104" t="n"/>
      <c r="G180" s="105" t="n"/>
      <c r="H180" s="105" t="n"/>
      <c r="I180" s="106" t="n"/>
      <c r="K180" s="107">
        <f>+B180</f>
        <v/>
      </c>
      <c r="L180" s="108" t="n"/>
      <c r="M180" s="108" t="n"/>
      <c r="N180" s="108" t="n"/>
      <c r="O180" s="63" t="n"/>
      <c r="P180" s="63" t="n"/>
      <c r="Q180" s="64" t="n"/>
      <c r="R180" s="65" t="n"/>
      <c r="S180" s="66" t="n"/>
      <c r="T180" s="63" t="n"/>
      <c r="U180" s="63" t="n"/>
      <c r="V180" s="97">
        <f>(IF(OR(L180="t",L180="TA",),(M180+N180)*2/1000*S180/1000,(IF(OR(L180="F",L180="M"),(M180*N180),IF(L180="d",(M180+N180+U180/1/2)*2*S180,IF(L180="tb",((M180+N180)*2*S180+M180*N180),IF(OR(L180="g",L180="n"),((M180+O180)*SQRT((S180)^2+((N180-P180)/2)^2)+(N180+P180)*SQRT((S180)^2+((M180-O180)/2)^2)),IF(LEFT(L180,1)="c",(2*(PI()*((M180+T180)^2-T180^2)+N180*(PI()*(M180+T180)+PI()*T180))*(U180/360)),IF(LEFT(L180,2)="vt",((M180+O180)*SQRT((S180)^2+((N180-P180)/2)^2)+(N180+P180)*SQRT((S180)^2+((M180-O180)/2)^2)+((T180+200)^2-(T180/2)^2*3.14)),IF(L180="tt",(2*(M180+N180)*(S180-1.5*O180)+(PI()*(3*O180+2/3*M180)*(O180+2/3*M180+P180+N180)-(P180+N180)*(PI()*1.5*O180))/8+(PI()*(3*Q180+2/3*M180)*(Q180+2/3*M180+R180+N180)-(R180+N180)*(PI()*1.5*Q180))/8),0))))))))/10^6))</f>
        <v/>
      </c>
      <c r="W180" s="68" t="n"/>
      <c r="X180" s="98" t="n"/>
    </row>
    <row r="181" ht="24.95" customHeight="1">
      <c r="A181" s="151" t="n"/>
      <c r="B181" s="152" t="inlineStr">
        <is>
          <t>Ống đồng kèm bảo ôn</t>
        </is>
      </c>
      <c r="C181" s="101" t="n"/>
      <c r="D181" s="102" t="n"/>
      <c r="E181" s="103" t="n"/>
      <c r="F181" s="104" t="n"/>
      <c r="G181" s="105" t="n"/>
      <c r="H181" s="105" t="n"/>
      <c r="I181" s="106" t="n"/>
      <c r="K181" s="107">
        <f>+B181</f>
        <v/>
      </c>
      <c r="L181" s="108" t="n"/>
      <c r="M181" s="108" t="n"/>
      <c r="N181" s="108" t="n"/>
      <c r="O181" s="63" t="n"/>
      <c r="P181" s="63" t="n"/>
      <c r="Q181" s="64" t="n"/>
      <c r="R181" s="65" t="n"/>
      <c r="S181" s="66" t="n"/>
      <c r="T181" s="63" t="n"/>
      <c r="U181" s="63" t="n"/>
      <c r="V181" s="97">
        <f>(IF(OR(L181="t",L181="TA",),(M181+N181)*2/1000*S181/1000,(IF(OR(L181="F",L181="M"),(M181*N181),IF(L181="d",(M181+N181+U181/1/2)*2*S181,IF(L181="tb",((M181+N181)*2*S181+M181*N181),IF(OR(L181="g",L181="n"),((M181+O181)*SQRT((S181)^2+((N181-P181)/2)^2)+(N181+P181)*SQRT((S181)^2+((M181-O181)/2)^2)),IF(LEFT(L181,1)="c",(2*(PI()*((M181+T181)^2-T181^2)+N181*(PI()*(M181+T181)+PI()*T181))*(U181/360)),IF(LEFT(L181,2)="vt",((M181+O181)*SQRT((S181)^2+((N181-P181)/2)^2)+(N181+P181)*SQRT((S181)^2+((M181-O181)/2)^2)+((T181+200)^2-(T181/2)^2*3.14)),IF(L181="tt",(2*(M181+N181)*(S181-1.5*O181)+(PI()*(3*O181+2/3*M181)*(O181+2/3*M181+P181+N181)-(P181+N181)*(PI()*1.5*O181))/8+(PI()*(3*Q181+2/3*M181)*(Q181+2/3*M181+R181+N181)-(R181+N181)*(PI()*1.5*Q181))/8),0))))))))/10^6))</f>
        <v/>
      </c>
      <c r="W181" s="68" t="n"/>
      <c r="X181" s="98" t="n"/>
    </row>
    <row r="182" ht="24.95" customHeight="1">
      <c r="A182" s="99" t="inlineStr">
        <is>
          <t>1</t>
        </is>
      </c>
      <c r="B182" s="100" t="inlineStr">
        <is>
          <t>Ống đồng Ø6.4/Ø9.5</t>
        </is>
      </c>
      <c r="C182" s="101" t="n"/>
      <c r="D182" s="102" t="n"/>
      <c r="E182" s="103" t="inlineStr">
        <is>
          <t>m</t>
        </is>
      </c>
      <c r="F182" s="104" t="n">
        <v>2037</v>
      </c>
      <c r="G182" s="105" t="n"/>
      <c r="H182" s="105" t="n">
        <v>0</v>
      </c>
      <c r="I182" s="106" t="n"/>
      <c r="K182" s="107" t="inlineStr">
        <is>
          <t>Ống đồng Ø6.4/Ø9.5</t>
        </is>
      </c>
      <c r="L182" s="108" t="inlineStr">
        <is>
          <t>t</t>
        </is>
      </c>
      <c r="M182" s="108" t="n">
        <v>6.4</v>
      </c>
      <c r="N182" s="108" t="n">
        <v>6.4</v>
      </c>
      <c r="O182" s="63" t="n"/>
      <c r="P182" s="63" t="n"/>
      <c r="Q182" s="64" t="n"/>
      <c r="R182" s="65" t="n"/>
      <c r="S182" s="66" t="n">
        <v>1200</v>
      </c>
      <c r="T182" s="63" t="n">
        <v>6.4</v>
      </c>
      <c r="U182" s="63" t="n"/>
      <c r="V182" s="97" t="n">
        <v>0</v>
      </c>
      <c r="W182" s="68" t="n">
        <v>0</v>
      </c>
      <c r="X182" s="98" t="n">
        <v>1</v>
      </c>
      <c r="Z182" t="n">
        <v>0</v>
      </c>
      <c r="AA182" t="n">
        <v>0</v>
      </c>
    </row>
    <row r="183" ht="24.95" customHeight="1">
      <c r="A183" s="99" t="inlineStr">
        <is>
          <t>2</t>
        </is>
      </c>
      <c r="B183" s="100" t="inlineStr">
        <is>
          <t>Ống đồng Ø6.4/Ø15.9</t>
        </is>
      </c>
      <c r="C183" s="101" t="n"/>
      <c r="D183" s="102" t="n"/>
      <c r="E183" s="103" t="inlineStr">
        <is>
          <t>m</t>
        </is>
      </c>
      <c r="F183" s="104" t="n">
        <v>681</v>
      </c>
      <c r="G183" s="105" t="n"/>
      <c r="H183" s="105" t="n">
        <v>0</v>
      </c>
      <c r="I183" s="106" t="n"/>
      <c r="K183" s="107" t="inlineStr">
        <is>
          <t>Ống đồng Ø6.4/Ø15.9</t>
        </is>
      </c>
      <c r="L183" s="108" t="inlineStr">
        <is>
          <t>t</t>
        </is>
      </c>
      <c r="M183" s="108" t="n">
        <v>6.4</v>
      </c>
      <c r="N183" s="108" t="n">
        <v>6.4</v>
      </c>
      <c r="O183" s="63" t="n"/>
      <c r="P183" s="63" t="n"/>
      <c r="Q183" s="64" t="n"/>
      <c r="R183" s="65" t="n"/>
      <c r="S183" s="66" t="n">
        <v>1200</v>
      </c>
      <c r="T183" s="63" t="n">
        <v>6.4</v>
      </c>
      <c r="U183" s="63" t="n"/>
      <c r="V183" s="97" t="n">
        <v>0</v>
      </c>
      <c r="W183" s="68" t="n">
        <v>0</v>
      </c>
      <c r="X183" s="98" t="n">
        <v>1</v>
      </c>
      <c r="Z183" t="n">
        <v>0</v>
      </c>
      <c r="AA183" t="n">
        <v>0</v>
      </c>
    </row>
    <row r="184" ht="24.95" customHeight="1">
      <c r="A184" s="99" t="inlineStr">
        <is>
          <t>3</t>
        </is>
      </c>
      <c r="B184" s="100" t="inlineStr">
        <is>
          <t>Bảo ôn ống đồng Ø6.4 dày 13mm</t>
        </is>
      </c>
      <c r="C184" s="101" t="n"/>
      <c r="D184" s="102" t="n"/>
      <c r="E184" s="103" t="inlineStr">
        <is>
          <t>m</t>
        </is>
      </c>
      <c r="F184" s="104" t="n">
        <v>2718</v>
      </c>
      <c r="G184" s="105" t="n"/>
      <c r="H184" s="105" t="n">
        <v>0</v>
      </c>
      <c r="I184" s="106" t="n"/>
      <c r="K184" s="107" t="inlineStr">
        <is>
          <t>Bảo ôn ống đồng Ø6.4 dày 13mm</t>
        </is>
      </c>
      <c r="L184" s="108" t="inlineStr">
        <is>
          <t>t</t>
        </is>
      </c>
      <c r="M184" s="108" t="n">
        <v>6.4</v>
      </c>
      <c r="N184" s="108" t="n">
        <v>6.4</v>
      </c>
      <c r="O184" s="63" t="n"/>
      <c r="P184" s="63" t="n"/>
      <c r="Q184" s="64" t="n"/>
      <c r="R184" s="65" t="n"/>
      <c r="S184" s="66" t="n">
        <v>1200</v>
      </c>
      <c r="T184" s="63" t="n">
        <v>6.4</v>
      </c>
      <c r="U184" s="63" t="n"/>
      <c r="V184" s="97" t="n">
        <v>0</v>
      </c>
      <c r="W184" s="68" t="n">
        <v>0</v>
      </c>
      <c r="X184" s="98" t="n">
        <v>1</v>
      </c>
      <c r="Z184" t="n">
        <v>0</v>
      </c>
      <c r="AA184" t="n">
        <v>0</v>
      </c>
    </row>
    <row r="185" ht="24.95" customHeight="1">
      <c r="A185" s="99" t="inlineStr">
        <is>
          <t>4</t>
        </is>
      </c>
      <c r="B185" s="100" t="inlineStr">
        <is>
          <t>Bảo ôn ống đồng Ø9.5 dày 13mm</t>
        </is>
      </c>
      <c r="C185" s="101" t="n"/>
      <c r="D185" s="102" t="n"/>
      <c r="E185" s="103" t="inlineStr">
        <is>
          <t>m</t>
        </is>
      </c>
      <c r="F185" s="104" t="n">
        <v>2037</v>
      </c>
      <c r="G185" s="105" t="n"/>
      <c r="H185" s="105" t="n">
        <v>0</v>
      </c>
      <c r="I185" s="106" t="n"/>
      <c r="K185" s="107" t="inlineStr">
        <is>
          <t>Bảo ôn ống đồng Ø9.5 dày 13mm</t>
        </is>
      </c>
      <c r="L185" s="108" t="inlineStr">
        <is>
          <t>t</t>
        </is>
      </c>
      <c r="M185" s="108" t="n">
        <v>9.5</v>
      </c>
      <c r="N185" s="108" t="n">
        <v>9.5</v>
      </c>
      <c r="O185" s="63" t="n"/>
      <c r="P185" s="63" t="n"/>
      <c r="Q185" s="64" t="n"/>
      <c r="R185" s="65" t="n"/>
      <c r="S185" s="66" t="n">
        <v>1200</v>
      </c>
      <c r="T185" s="63" t="n">
        <v>9.5</v>
      </c>
      <c r="U185" s="63" t="n"/>
      <c r="V185" s="97" t="n">
        <v>0</v>
      </c>
      <c r="W185" s="68" t="n">
        <v>0</v>
      </c>
      <c r="X185" s="98" t="n">
        <v>1</v>
      </c>
      <c r="Z185" t="n">
        <v>0</v>
      </c>
      <c r="AA185" t="n">
        <v>0</v>
      </c>
    </row>
    <row r="186" ht="24.95" customHeight="1">
      <c r="A186" s="99" t="inlineStr">
        <is>
          <t>5</t>
        </is>
      </c>
      <c r="B186" s="100" t="inlineStr">
        <is>
          <t>Bảo ôn ống đồng Ø12.7 dày 13mm</t>
        </is>
      </c>
      <c r="C186" s="101" t="n"/>
      <c r="D186" s="102" t="n"/>
      <c r="E186" s="103" t="inlineStr">
        <is>
          <t>m</t>
        </is>
      </c>
      <c r="F186" s="104" t="n">
        <v>0</v>
      </c>
      <c r="G186" s="105" t="n"/>
      <c r="H186" s="105" t="n">
        <v>0</v>
      </c>
      <c r="I186" s="106" t="n"/>
      <c r="K186" s="107" t="inlineStr">
        <is>
          <t>Bảo ôn ống đồng Ø12.7 dày 13mm</t>
        </is>
      </c>
      <c r="L186" s="108" t="inlineStr">
        <is>
          <t>t</t>
        </is>
      </c>
      <c r="M186" s="108" t="n">
        <v>12.7</v>
      </c>
      <c r="N186" s="108" t="n">
        <v>12.7</v>
      </c>
      <c r="O186" s="63" t="n"/>
      <c r="P186" s="63" t="n"/>
      <c r="Q186" s="64" t="n"/>
      <c r="R186" s="65" t="n"/>
      <c r="S186" s="66" t="n">
        <v>1200</v>
      </c>
      <c r="T186" s="63" t="n">
        <v>12.7</v>
      </c>
      <c r="U186" s="63" t="n"/>
      <c r="V186" s="97" t="n">
        <v>0</v>
      </c>
      <c r="W186" s="68" t="n">
        <v>0</v>
      </c>
      <c r="X186" s="98" t="n">
        <v>1</v>
      </c>
      <c r="Z186" t="n">
        <v>0</v>
      </c>
      <c r="AA186" t="n">
        <v>0</v>
      </c>
    </row>
    <row r="187" ht="24.95" customHeight="1">
      <c r="A187" s="99" t="inlineStr">
        <is>
          <t>6</t>
        </is>
      </c>
      <c r="B187" s="100" t="inlineStr">
        <is>
          <t>Bảo ôn ống đồng Ø15.9 dày 19mm</t>
        </is>
      </c>
      <c r="C187" s="101" t="n"/>
      <c r="D187" s="102" t="n"/>
      <c r="E187" s="103" t="inlineStr">
        <is>
          <t>m</t>
        </is>
      </c>
      <c r="F187" s="104" t="n">
        <v>681</v>
      </c>
      <c r="G187" s="105" t="n"/>
      <c r="H187" s="105" t="n">
        <v>0</v>
      </c>
      <c r="I187" s="106" t="n"/>
      <c r="K187" s="107" t="inlineStr">
        <is>
          <t>Bảo ôn ống đồng Ø15.9 dày 19mm</t>
        </is>
      </c>
      <c r="L187" s="108" t="inlineStr">
        <is>
          <t>t</t>
        </is>
      </c>
      <c r="M187" s="108" t="n">
        <v>15.9</v>
      </c>
      <c r="N187" s="108" t="n">
        <v>15.9</v>
      </c>
      <c r="O187" s="63" t="n"/>
      <c r="P187" s="63" t="n"/>
      <c r="Q187" s="64" t="n"/>
      <c r="R187" s="65" t="n"/>
      <c r="S187" s="66" t="n">
        <v>1200</v>
      </c>
      <c r="T187" s="63" t="n">
        <v>15.9</v>
      </c>
      <c r="U187" s="63" t="n"/>
      <c r="V187" s="97" t="n">
        <v>0</v>
      </c>
      <c r="W187" s="68" t="n">
        <v>0</v>
      </c>
      <c r="X187" s="98" t="n">
        <v>1</v>
      </c>
      <c r="Z187" t="n">
        <v>0</v>
      </c>
      <c r="AA187" t="n">
        <v>0</v>
      </c>
    </row>
    <row r="188" ht="24.95" customHeight="1">
      <c r="A188" s="99" t="inlineStr">
        <is>
          <t>7</t>
        </is>
      </c>
      <c r="B188" s="100" t="inlineStr">
        <is>
          <t>Giá đỡ ống đồng</t>
        </is>
      </c>
      <c r="C188" s="101" t="n"/>
      <c r="D188" s="102" t="n"/>
      <c r="E188" s="103" t="inlineStr">
        <is>
          <t>bộ</t>
        </is>
      </c>
      <c r="F188" s="104" t="n">
        <v>1348</v>
      </c>
      <c r="G188" s="105" t="n"/>
      <c r="H188" s="105" t="n">
        <v>0</v>
      </c>
      <c r="I188" s="106" t="n"/>
      <c r="K188" s="107" t="inlineStr">
        <is>
          <t>Giá đỡ ống đồng</t>
        </is>
      </c>
      <c r="L188" s="108" t="inlineStr">
        <is>
          <t>t</t>
        </is>
      </c>
      <c r="M188" s="108" t="n"/>
      <c r="N188" s="108" t="n"/>
      <c r="O188" s="63" t="n"/>
      <c r="P188" s="63" t="n"/>
      <c r="Q188" s="64" t="n"/>
      <c r="R188" s="65" t="n"/>
      <c r="S188" s="66" t="n">
        <v>1200</v>
      </c>
      <c r="T188" s="63" t="n"/>
      <c r="U188" s="63" t="n"/>
      <c r="V188" s="97" t="n">
        <v>0</v>
      </c>
      <c r="W188" s="68" t="n">
        <v>0</v>
      </c>
      <c r="X188" s="98" t="n">
        <v>1</v>
      </c>
      <c r="Z188" t="n">
        <v>0</v>
      </c>
      <c r="AA188" t="n">
        <v>0</v>
      </c>
    </row>
    <row r="189" ht="24.95" customHeight="1">
      <c r="A189" s="99" t="inlineStr">
        <is>
          <t>8</t>
        </is>
      </c>
      <c r="B189" s="100" t="inlineStr">
        <is>
          <t>Vật tư phụ</t>
        </is>
      </c>
      <c r="C189" s="101" t="n"/>
      <c r="D189" s="102" t="n"/>
      <c r="E189" s="103" t="inlineStr">
        <is>
          <t>lô</t>
        </is>
      </c>
      <c r="F189" s="104" t="n">
        <v>1</v>
      </c>
      <c r="G189" s="105" t="n"/>
      <c r="H189" s="105" t="n">
        <v>0</v>
      </c>
      <c r="I189" s="106" t="n"/>
      <c r="K189" s="107" t="inlineStr">
        <is>
          <t>Vật tư phụ</t>
        </is>
      </c>
      <c r="L189" s="108" t="inlineStr"/>
      <c r="M189" s="108" t="n"/>
      <c r="N189" s="108" t="n"/>
      <c r="O189" s="63" t="n"/>
      <c r="P189" s="63" t="n"/>
      <c r="Q189" s="64" t="n"/>
      <c r="R189" s="65" t="n"/>
      <c r="S189" s="66" t="n">
        <v>1200</v>
      </c>
      <c r="T189" s="63" t="n"/>
      <c r="U189" s="63" t="n"/>
      <c r="V189" s="97" t="n">
        <v>0</v>
      </c>
      <c r="W189" s="68" t="n">
        <v>0</v>
      </c>
      <c r="X189" s="98" t="n">
        <v>0</v>
      </c>
      <c r="Z189" t="n">
        <v>0</v>
      </c>
      <c r="AA189" t="n">
        <v>0</v>
      </c>
    </row>
    <row r="190" ht="24.95" customHeight="1">
      <c r="A190" s="151" t="n"/>
      <c r="B190" s="152" t="inlineStr">
        <is>
          <t>Ống nước ngưng kèm bảo ôn</t>
        </is>
      </c>
      <c r="C190" s="101" t="n"/>
      <c r="D190" s="102" t="n"/>
      <c r="E190" s="103" t="n"/>
      <c r="F190" s="104" t="n">
        <v>0</v>
      </c>
      <c r="G190" s="105" t="n"/>
      <c r="H190" s="105">
        <f>G190*F190</f>
        <v/>
      </c>
      <c r="I190" s="106" t="n"/>
      <c r="K190" s="107">
        <f>+B190</f>
        <v/>
      </c>
      <c r="L190" s="108" t="n"/>
      <c r="M190" s="108" t="n"/>
      <c r="N190" s="108" t="n"/>
      <c r="O190" s="63" t="n"/>
      <c r="P190" s="63" t="n"/>
      <c r="Q190" s="64" t="n"/>
      <c r="R190" s="65" t="n"/>
      <c r="S190" s="66" t="n"/>
      <c r="T190" s="63" t="n"/>
      <c r="U190" s="63" t="n"/>
      <c r="V190" s="97">
        <f>(IF(OR(L190="t",L190="TA",),(M190+N190)*2/1000*S190/1000,(IF(OR(L190="F",L190="M"),(M190*N190),IF(L190="d",(M190+N190+U190/1/2)*2*S190,IF(L190="tb",((M190+N190)*2*S190+M190*N190),IF(OR(L190="g",L190="n"),((M190+O190)*SQRT((S190)^2+((N190-P190)/2)^2)+(N190+P190)*SQRT((S190)^2+((M190-O190)/2)^2)),IF(LEFT(L190,1)="c",(2*(PI()*((M190+T190)^2-T190^2)+N190*(PI()*(M190+T190)+PI()*T190))*(U190/360)),IF(LEFT(L190,2)="vt",((M190+O190)*SQRT((S190)^2+((N190-P190)/2)^2)+(N190+P190)*SQRT((S190)^2+((M190-O190)/2)^2)+((T190+200)^2-(T190/2)^2*3.14)),IF(L190="tt",(2*(M190+N190)*(S190-1.5*O190)+(PI()*(3*O190+2/3*M190)*(O190+2/3*M190+P190+N190)-(P190+N190)*(PI()*1.5*O190))/8+(PI()*(3*Q190+2/3*M190)*(Q190+2/3*M190+R190+N190)-(R190+N190)*(PI()*1.5*Q190))/8),0))))))))/10^6))</f>
        <v/>
      </c>
      <c r="W190" s="68" t="n"/>
      <c r="X190" s="98" t="n"/>
    </row>
    <row r="191" ht="24.95" customHeight="1">
      <c r="A191" s="99" t="inlineStr">
        <is>
          <t>1</t>
        </is>
      </c>
      <c r="B191" s="100" t="inlineStr">
        <is>
          <t>Ống nước ngưng DN21</t>
        </is>
      </c>
      <c r="C191" s="101" t="n"/>
      <c r="D191" s="102" t="n"/>
      <c r="E191" s="103" t="inlineStr">
        <is>
          <t>m</t>
        </is>
      </c>
      <c r="F191" s="104" t="n">
        <v>2338</v>
      </c>
      <c r="G191" s="105" t="n"/>
      <c r="H191" s="105" t="n">
        <v>0</v>
      </c>
      <c r="I191" s="106" t="n"/>
      <c r="K191" s="107" t="inlineStr">
        <is>
          <t>Ống nước ngưng DN21</t>
        </is>
      </c>
      <c r="L191" s="108" t="inlineStr">
        <is>
          <t>t</t>
        </is>
      </c>
      <c r="M191" s="108" t="n"/>
      <c r="N191" s="108" t="n"/>
      <c r="O191" s="63" t="n"/>
      <c r="P191" s="63" t="n"/>
      <c r="Q191" s="64" t="n"/>
      <c r="R191" s="65" t="n"/>
      <c r="S191" s="66" t="n">
        <v>1200</v>
      </c>
      <c r="T191" s="63" t="n"/>
      <c r="U191" s="63" t="n"/>
      <c r="V191" s="97" t="n">
        <v>0</v>
      </c>
      <c r="W191" s="68" t="n">
        <v>0</v>
      </c>
      <c r="X191" s="98" t="n">
        <v>1</v>
      </c>
      <c r="Z191" t="n">
        <v>0</v>
      </c>
      <c r="AA191" t="n">
        <v>0</v>
      </c>
    </row>
    <row r="192" ht="24.95" customHeight="1">
      <c r="A192" s="99" t="inlineStr">
        <is>
          <t>2</t>
        </is>
      </c>
      <c r="B192" s="100" t="inlineStr">
        <is>
          <t>Bảo ôn ống nước ngưng dày 13mm</t>
        </is>
      </c>
      <c r="C192" s="101" t="n"/>
      <c r="D192" s="102" t="n"/>
      <c r="E192" s="103" t="inlineStr">
        <is>
          <t>m</t>
        </is>
      </c>
      <c r="F192" s="104" t="n">
        <v>2338</v>
      </c>
      <c r="G192" s="105" t="n"/>
      <c r="H192" s="105" t="n">
        <v>0</v>
      </c>
      <c r="I192" s="106" t="n"/>
      <c r="K192" s="107" t="inlineStr">
        <is>
          <t>Bảo ôn ống nước ngưng dày 13mm</t>
        </is>
      </c>
      <c r="L192" s="108" t="inlineStr">
        <is>
          <t>t</t>
        </is>
      </c>
      <c r="M192" s="108" t="n"/>
      <c r="N192" s="108" t="n"/>
      <c r="O192" s="63" t="n"/>
      <c r="P192" s="63" t="n"/>
      <c r="Q192" s="64" t="n"/>
      <c r="R192" s="65" t="n"/>
      <c r="S192" s="66" t="n">
        <v>1200</v>
      </c>
      <c r="T192" s="63" t="n"/>
      <c r="U192" s="63" t="n"/>
      <c r="V192" s="97" t="n">
        <v>0</v>
      </c>
      <c r="W192" s="68" t="n">
        <v>0</v>
      </c>
      <c r="X192" s="98" t="n">
        <v>1</v>
      </c>
      <c r="Z192" t="n">
        <v>0</v>
      </c>
      <c r="AA192" t="n">
        <v>0</v>
      </c>
    </row>
    <row r="193" ht="24.95" customHeight="1">
      <c r="A193" s="99" t="inlineStr">
        <is>
          <t>3</t>
        </is>
      </c>
      <c r="B193" s="100" t="inlineStr">
        <is>
          <t>Giá đỡ ống đồng</t>
        </is>
      </c>
      <c r="C193" s="101" t="n"/>
      <c r="D193" s="102" t="n"/>
      <c r="E193" s="103" t="inlineStr">
        <is>
          <t>bộ</t>
        </is>
      </c>
      <c r="F193" s="104" t="n">
        <v>686</v>
      </c>
      <c r="G193" s="105" t="n"/>
      <c r="H193" s="105" t="n">
        <v>0</v>
      </c>
      <c r="I193" s="106" t="n"/>
      <c r="K193" s="107" t="inlineStr">
        <is>
          <t>Giá đỡ ống đồng</t>
        </is>
      </c>
      <c r="L193" s="108" t="inlineStr">
        <is>
          <t>t</t>
        </is>
      </c>
      <c r="M193" s="108" t="n"/>
      <c r="N193" s="108" t="n"/>
      <c r="O193" s="63" t="n"/>
      <c r="P193" s="63" t="n"/>
      <c r="Q193" s="64" t="n"/>
      <c r="R193" s="65" t="n"/>
      <c r="S193" s="66" t="n">
        <v>1200</v>
      </c>
      <c r="T193" s="63" t="n"/>
      <c r="U193" s="63" t="n"/>
      <c r="V193" s="97" t="n">
        <v>0</v>
      </c>
      <c r="W193" s="68" t="n">
        <v>0</v>
      </c>
      <c r="X193" s="98" t="n">
        <v>1</v>
      </c>
      <c r="Z193" t="n">
        <v>0</v>
      </c>
      <c r="AA193" t="n">
        <v>0</v>
      </c>
    </row>
    <row r="194" ht="24.95" customHeight="1">
      <c r="A194" s="99" t="inlineStr">
        <is>
          <t>4</t>
        </is>
      </c>
      <c r="B194" s="100" t="inlineStr">
        <is>
          <t>Vật tư phụ</t>
        </is>
      </c>
      <c r="C194" s="101" t="n"/>
      <c r="D194" s="102" t="n"/>
      <c r="E194" s="103" t="inlineStr">
        <is>
          <t>lô</t>
        </is>
      </c>
      <c r="F194" s="104" t="n">
        <v>1</v>
      </c>
      <c r="G194" s="105" t="n"/>
      <c r="H194" s="105" t="n">
        <v>0</v>
      </c>
      <c r="I194" s="106" t="n"/>
      <c r="K194" s="107" t="inlineStr">
        <is>
          <t>Vật tư phụ</t>
        </is>
      </c>
      <c r="L194" s="108" t="inlineStr"/>
      <c r="M194" s="108" t="n"/>
      <c r="N194" s="108" t="n"/>
      <c r="O194" s="63" t="n"/>
      <c r="P194" s="63" t="n"/>
      <c r="Q194" s="64" t="n"/>
      <c r="R194" s="65" t="n"/>
      <c r="S194" s="66" t="n">
        <v>1200</v>
      </c>
      <c r="T194" s="63" t="n"/>
      <c r="U194" s="63" t="n"/>
      <c r="V194" s="97" t="n">
        <v>0</v>
      </c>
      <c r="W194" s="68" t="n">
        <v>0</v>
      </c>
      <c r="X194" s="98" t="n">
        <v>0</v>
      </c>
      <c r="Z194" t="n">
        <v>0</v>
      </c>
      <c r="AA194" t="n">
        <v>0</v>
      </c>
    </row>
    <row r="195" ht="24.95" customHeight="1">
      <c r="A195" s="151" t="n"/>
      <c r="B195" s="152" t="inlineStr">
        <is>
          <t>Ống gió hút mùi vệ sinh</t>
        </is>
      </c>
      <c r="C195" s="101" t="n"/>
      <c r="D195" s="102" t="n"/>
      <c r="E195" s="103" t="n"/>
      <c r="F195" s="104" t="n">
        <v>0</v>
      </c>
      <c r="G195" s="105" t="n"/>
      <c r="H195" s="105">
        <f>G195*F195</f>
        <v/>
      </c>
      <c r="I195" s="106" t="n"/>
      <c r="K195" s="107">
        <f>+B195</f>
        <v/>
      </c>
      <c r="L195" s="108" t="n"/>
      <c r="M195" s="108" t="n"/>
      <c r="N195" s="108" t="n"/>
      <c r="O195" s="63" t="n"/>
      <c r="P195" s="63" t="n"/>
      <c r="Q195" s="64" t="n"/>
      <c r="R195" s="65" t="n"/>
      <c r="S195" s="66" t="n"/>
      <c r="T195" s="63" t="n"/>
      <c r="U195" s="63" t="n"/>
      <c r="V195" s="97">
        <f>(IF(OR(L195="t",L195="TA",),(M195+N195)*2/1000*S195/1000,(IF(OR(L195="F",L195="M"),(M195*N195),IF(L195="d",(M195+N195+U195/1/2)*2*S195,IF(L195="tb",((M195+N195)*2*S195+M195*N195),IF(OR(L195="g",L195="n"),((M195+O195)*SQRT((S195)^2+((N195-P195)/2)^2)+(N195+P195)*SQRT((S195)^2+((M195-O195)/2)^2)),IF(LEFT(L195,1)="c",(2*(PI()*((M195+T195)^2-T195^2)+N195*(PI()*(M195+T195)+PI()*T195))*(U195/360)),IF(LEFT(L195,2)="vt",((M195+O195)*SQRT((S195)^2+((N195-P195)/2)^2)+(N195+P195)*SQRT((S195)^2+((M195-O195)/2)^2)+((T195+200)^2-(T195/2)^2*3.14)),IF(L195="tt",(2*(M195+N195)*(S195-1.5*O195)+(PI()*(3*O195+2/3*M195)*(O195+2/3*M195+P195+N195)-(P195+N195)*(PI()*1.5*O195))/8+(PI()*(3*Q195+2/3*M195)*(Q195+2/3*M195+R195+N195)-(R195+N195)*(PI()*1.5*Q195))/8),0))))))))/10^6))</f>
        <v/>
      </c>
      <c r="W195" s="68" t="n"/>
      <c r="X195" s="98" t="n"/>
    </row>
    <row r="196" ht="24.95" customHeight="1">
      <c r="A196" s="99" t="inlineStr">
        <is>
          <t>1</t>
        </is>
      </c>
      <c r="B196" s="100" t="inlineStr">
        <is>
          <t>Ống PVC DN90 kèm phụ kiện</t>
        </is>
      </c>
      <c r="C196" s="101" t="n"/>
      <c r="D196" s="102" t="n"/>
      <c r="E196" s="103" t="inlineStr">
        <is>
          <t>m</t>
        </is>
      </c>
      <c r="F196" s="104" t="n">
        <v>1656.4</v>
      </c>
      <c r="G196" s="105" t="n"/>
      <c r="H196" s="105" t="n">
        <v>0</v>
      </c>
      <c r="I196" s="106" t="n"/>
      <c r="K196" s="107" t="inlineStr">
        <is>
          <t>Ống PVC DN90 kèm phụ kiện</t>
        </is>
      </c>
      <c r="L196" s="108" t="inlineStr">
        <is>
          <t>t</t>
        </is>
      </c>
      <c r="M196" s="108" t="n"/>
      <c r="N196" s="108" t="n"/>
      <c r="O196" s="63" t="n"/>
      <c r="P196" s="63" t="n"/>
      <c r="Q196" s="64" t="n"/>
      <c r="R196" s="65" t="n"/>
      <c r="S196" s="66" t="n">
        <v>1200</v>
      </c>
      <c r="T196" s="63" t="n"/>
      <c r="U196" s="63" t="n"/>
      <c r="V196" s="97" t="n">
        <v>0</v>
      </c>
      <c r="W196" s="68" t="n">
        <v>0</v>
      </c>
      <c r="X196" s="98" t="n">
        <v>1</v>
      </c>
      <c r="Z196" t="n">
        <v>0</v>
      </c>
      <c r="AA196" t="n">
        <v>0</v>
      </c>
    </row>
    <row r="197" ht="24.95" customHeight="1">
      <c r="A197" s="99" t="inlineStr">
        <is>
          <t>2</t>
        </is>
      </c>
      <c r="B197" s="100" t="inlineStr">
        <is>
          <t>Ống PVC DN140 kèm phụ kiện</t>
        </is>
      </c>
      <c r="C197" s="101" t="n"/>
      <c r="D197" s="102" t="n"/>
      <c r="E197" s="103" t="inlineStr">
        <is>
          <t>m</t>
        </is>
      </c>
      <c r="F197" s="104" t="n">
        <v>1040.1</v>
      </c>
      <c r="G197" s="105" t="n"/>
      <c r="H197" s="105" t="n">
        <v>0</v>
      </c>
      <c r="I197" s="106" t="n"/>
      <c r="K197" s="107" t="inlineStr">
        <is>
          <t>Ống PVC DN140 kèm phụ kiện</t>
        </is>
      </c>
      <c r="L197" s="108" t="inlineStr">
        <is>
          <t>t</t>
        </is>
      </c>
      <c r="M197" s="108" t="n"/>
      <c r="N197" s="108" t="n"/>
      <c r="O197" s="63" t="n"/>
      <c r="P197" s="63" t="n"/>
      <c r="Q197" s="64" t="n"/>
      <c r="R197" s="65" t="n"/>
      <c r="S197" s="66" t="n">
        <v>1200</v>
      </c>
      <c r="T197" s="63" t="n"/>
      <c r="U197" s="63" t="n"/>
      <c r="V197" s="97" t="n">
        <v>0</v>
      </c>
      <c r="W197" s="68" t="n">
        <v>0</v>
      </c>
      <c r="X197" s="98" t="n">
        <v>1</v>
      </c>
      <c r="Z197" t="n">
        <v>0</v>
      </c>
      <c r="AA197" t="n">
        <v>0</v>
      </c>
    </row>
    <row r="198" ht="16.5" customHeight="1">
      <c r="A198" s="99" t="inlineStr">
        <is>
          <t>3</t>
        </is>
      </c>
      <c r="B198" s="100" t="inlineStr">
        <is>
          <t>Ống gió mềm không kèm bảo ôn DN100</t>
        </is>
      </c>
      <c r="C198" s="101" t="n"/>
      <c r="D198" s="102" t="n"/>
      <c r="E198" s="103" t="inlineStr">
        <is>
          <t>m</t>
        </is>
      </c>
      <c r="F198" s="104" t="n">
        <v>402</v>
      </c>
      <c r="G198" s="105" t="n"/>
      <c r="H198" s="105" t="n">
        <v>0</v>
      </c>
      <c r="I198" s="106" t="n"/>
      <c r="K198" s="107" t="inlineStr">
        <is>
          <t>Ống gió mềm không kèm bảo ôn DN100</t>
        </is>
      </c>
      <c r="L198" s="108" t="inlineStr">
        <is>
          <t>t</t>
        </is>
      </c>
      <c r="M198" s="108" t="n"/>
      <c r="N198" s="108" t="n"/>
      <c r="O198" s="63" t="n"/>
      <c r="P198" s="63" t="n"/>
      <c r="Q198" s="64" t="n"/>
      <c r="R198" s="65" t="n"/>
      <c r="S198" s="66" t="n">
        <v>1200</v>
      </c>
      <c r="T198" s="63" t="n"/>
      <c r="U198" s="63" t="n"/>
      <c r="V198" s="97" t="n">
        <v>0</v>
      </c>
      <c r="W198" s="68" t="n">
        <v>0</v>
      </c>
      <c r="X198" s="98" t="n">
        <v>1</v>
      </c>
      <c r="Z198" t="n">
        <v>0</v>
      </c>
      <c r="AA198" t="n">
        <v>0</v>
      </c>
    </row>
    <row r="199" ht="24.95" customHeight="1">
      <c r="A199" s="99" t="inlineStr">
        <is>
          <t>4</t>
        </is>
      </c>
      <c r="B199" s="100" t="inlineStr">
        <is>
          <t>Louver kèm lưới chắn côn trùng KT400x200</t>
        </is>
      </c>
      <c r="C199" s="101" t="inlineStr">
        <is>
          <t>Nhôm sơn tĩnh điện</t>
        </is>
      </c>
      <c r="D199" s="102" t="inlineStr">
        <is>
          <t>Kaiyo Việt Nam</t>
        </is>
      </c>
      <c r="E199" s="103" t="inlineStr">
        <is>
          <t>Cái</t>
        </is>
      </c>
      <c r="F199" s="104" t="n">
        <v>134</v>
      </c>
      <c r="G199" s="105" t="n">
        <v>188000</v>
      </c>
      <c r="H199" s="105" t="n">
        <v>25192000</v>
      </c>
      <c r="I199" s="106" t="inlineStr">
        <is>
          <t>Cửa nan Z + LCCT</t>
        </is>
      </c>
      <c r="K199" s="107" t="inlineStr">
        <is>
          <t>Louver kèm lưới chắn côn trùng KT400x200</t>
        </is>
      </c>
      <c r="L199" s="108" t="inlineStr">
        <is>
          <t>c</t>
        </is>
      </c>
      <c r="M199" s="108" t="n">
        <v>400</v>
      </c>
      <c r="N199" s="108" t="n">
        <v>200</v>
      </c>
      <c r="O199" s="63" t="n"/>
      <c r="P199" s="63" t="n"/>
      <c r="Q199" s="63">
        <f>P199*M199/1000</f>
        <v/>
      </c>
      <c r="R199" s="63" t="n"/>
      <c r="S199" s="66" t="n">
        <v>1200</v>
      </c>
      <c r="T199" s="63" t="n"/>
      <c r="U199" s="63" t="n"/>
      <c r="V199" s="67" t="n">
        <v>0.08</v>
      </c>
      <c r="W199" s="68" t="n">
        <v>188000</v>
      </c>
      <c r="X199" s="68" t="n">
        <v>1</v>
      </c>
      <c r="Z199" t="n">
        <v>0</v>
      </c>
      <c r="AA199" t="n">
        <v>0</v>
      </c>
    </row>
    <row r="200" ht="16.5" customHeight="1">
      <c r="A200" s="99" t="inlineStr">
        <is>
          <t>5</t>
        </is>
      </c>
      <c r="B200" s="100" t="inlineStr">
        <is>
          <t>Cửa thăm dàn lạnh</t>
        </is>
      </c>
      <c r="C200" s="101" t="n"/>
      <c r="D200" s="102" t="n"/>
      <c r="E200" s="103" t="inlineStr">
        <is>
          <t>Cái</t>
        </is>
      </c>
      <c r="F200" s="104" t="n">
        <v>402</v>
      </c>
      <c r="G200" s="105" t="n"/>
      <c r="H200" s="105" t="n">
        <v>0</v>
      </c>
      <c r="I200" s="106" t="n"/>
      <c r="K200" s="107" t="inlineStr">
        <is>
          <t>Cửa thăm dàn lạnh</t>
        </is>
      </c>
      <c r="L200" s="108" t="inlineStr"/>
      <c r="M200" s="108" t="n"/>
      <c r="N200" s="108" t="n"/>
      <c r="O200" s="63" t="n"/>
      <c r="P200" s="63" t="n"/>
      <c r="Q200" s="64" t="n"/>
      <c r="R200" s="65" t="n"/>
      <c r="S200" s="66" t="n">
        <v>1200</v>
      </c>
      <c r="T200" s="63" t="n"/>
      <c r="U200" s="63" t="n"/>
      <c r="V200" s="97" t="n">
        <v>0</v>
      </c>
      <c r="W200" s="68" t="n">
        <v>0</v>
      </c>
      <c r="X200" s="98" t="n">
        <v>1</v>
      </c>
      <c r="Z200" t="n">
        <v>0</v>
      </c>
      <c r="AA200" t="n">
        <v>0</v>
      </c>
    </row>
    <row r="201" ht="24.95" customHeight="1">
      <c r="A201" s="151" t="inlineStr">
        <is>
          <t>2</t>
        </is>
      </c>
      <c r="B201" s="152" t="inlineStr">
        <is>
          <t>Vật tư phụ</t>
        </is>
      </c>
      <c r="C201" s="101" t="n"/>
      <c r="D201" s="102" t="n"/>
      <c r="E201" s="103" t="inlineStr">
        <is>
          <t>lô</t>
        </is>
      </c>
      <c r="F201" s="104" t="n">
        <v>1</v>
      </c>
      <c r="G201" s="105" t="n"/>
      <c r="H201" s="105" t="n">
        <v>0</v>
      </c>
      <c r="I201" s="106" t="n"/>
      <c r="K201" s="107" t="inlineStr">
        <is>
          <t>Vật tư phụ</t>
        </is>
      </c>
      <c r="L201" s="108" t="inlineStr"/>
      <c r="M201" s="108" t="n"/>
      <c r="N201" s="108" t="n"/>
      <c r="O201" s="63" t="n"/>
      <c r="P201" s="63" t="n"/>
      <c r="Q201" s="64" t="n"/>
      <c r="R201" s="65" t="n"/>
      <c r="S201" s="66" t="n">
        <v>1200</v>
      </c>
      <c r="T201" s="63" t="n"/>
      <c r="U201" s="63" t="n"/>
      <c r="V201" s="97" t="n">
        <v>0</v>
      </c>
      <c r="W201" s="68" t="n">
        <v>0</v>
      </c>
      <c r="X201" s="98" t="n">
        <v>0</v>
      </c>
      <c r="Z201" t="n">
        <v>0</v>
      </c>
      <c r="AA201" t="n">
        <v>0</v>
      </c>
    </row>
    <row r="202" ht="24.95" customHeight="1">
      <c r="A202" s="151" t="n"/>
      <c r="B202" s="152" t="inlineStr">
        <is>
          <t>Hệ thống Điện cấp nguồn + Điều khiển</t>
        </is>
      </c>
      <c r="C202" s="101" t="n"/>
      <c r="D202" s="102" t="n"/>
      <c r="E202" s="103" t="n"/>
      <c r="F202" s="104" t="n"/>
      <c r="G202" s="105" t="n"/>
      <c r="H202" s="105" t="n"/>
      <c r="I202" s="106" t="n"/>
      <c r="K202" s="107">
        <f>+B202</f>
        <v/>
      </c>
      <c r="L202" s="108" t="n"/>
      <c r="M202" s="108" t="n"/>
      <c r="N202" s="108" t="n"/>
      <c r="O202" s="63" t="n"/>
      <c r="P202" s="63" t="n"/>
      <c r="Q202" s="64" t="n"/>
      <c r="R202" s="65" t="n"/>
      <c r="S202" s="66" t="n"/>
      <c r="T202" s="63" t="n"/>
      <c r="U202" s="63" t="n"/>
      <c r="V202" s="97">
        <f>(IF(OR(L202="t",L202="TA",),(M202+N202)*2/1000*S202/1000,(IF(OR(L202="F",L202="M"),(M202*N202),IF(L202="d",(M202+N202+U202/1/2)*2*S202,IF(L202="tb",((M202+N202)*2*S202+M202*N202),IF(OR(L202="g",L202="n"),((M202+O202)*SQRT((S202)^2+((N202-P202)/2)^2)+(N202+P202)*SQRT((S202)^2+((M202-O202)/2)^2)),IF(LEFT(L202,1)="c",(2*(PI()*((M202+T202)^2-T202^2)+N202*(PI()*(M202+T202)+PI()*T202))*(U202/360)),IF(LEFT(L202,2)="vt",((M202+O202)*SQRT((S202)^2+((N202-P202)/2)^2)+(N202+P202)*SQRT((S202)^2+((M202-O202)/2)^2)+((T202+200)^2-(T202/2)^2*3.14)),IF(L202="tt",(2*(M202+N202)*(S202-1.5*O202)+(PI()*(3*O202+2/3*M202)*(O202+2/3*M202+P202+N202)-(P202+N202)*(PI()*1.5*O202))/8+(PI()*(3*Q202+2/3*M202)*(Q202+2/3*M202+R202+N202)-(R202+N202)*(PI()*1.5*Q202))/8),0))))))))/10^6))</f>
        <v/>
      </c>
      <c r="W202" s="68" t="n"/>
      <c r="X202" s="98" t="n"/>
    </row>
    <row r="203" ht="39.95" customHeight="1">
      <c r="A203" s="99" t="inlineStr">
        <is>
          <t>1</t>
        </is>
      </c>
      <c r="B203" s="100" t="inlineStr">
        <is>
          <t>Dây tín hiệu nguồn kết nối dàn nóng và dàn lạnh
Cu/PVC 5x1.5mm2</t>
        </is>
      </c>
      <c r="C203" s="101" t="n"/>
      <c r="D203" s="102" t="n"/>
      <c r="E203" s="103" t="inlineStr">
        <is>
          <t>m</t>
        </is>
      </c>
      <c r="F203" s="104" t="n">
        <v>2718</v>
      </c>
      <c r="G203" s="105" t="n"/>
      <c r="H203" s="105" t="n">
        <v>0</v>
      </c>
      <c r="I203" s="106" t="n"/>
      <c r="K203" s="107" t="inlineStr">
        <is>
          <t>Dây tín hiệu nguồn kết nối dàn nóng và dàn lạnh
Cu/PVC 5x1.5mm2</t>
        </is>
      </c>
      <c r="L203" s="108" t="inlineStr"/>
      <c r="M203" s="108" t="n">
        <v>5</v>
      </c>
      <c r="N203" s="108" t="n">
        <v>1.5</v>
      </c>
      <c r="O203" s="63" t="n"/>
      <c r="P203" s="63" t="n"/>
      <c r="Q203" s="64" t="n"/>
      <c r="R203" s="65" t="n"/>
      <c r="S203" s="66" t="n">
        <v>1200</v>
      </c>
      <c r="T203" s="63" t="n"/>
      <c r="U203" s="63" t="n"/>
      <c r="V203" s="97" t="n">
        <v>0</v>
      </c>
      <c r="W203" s="68" t="n">
        <v>0</v>
      </c>
      <c r="X203" s="98" t="n">
        <v>0</v>
      </c>
      <c r="Z203" t="n">
        <v>0</v>
      </c>
      <c r="AA203" t="n">
        <v>0</v>
      </c>
    </row>
    <row r="204" ht="24.95" customHeight="1">
      <c r="A204" s="99" t="n">
        <v>2</v>
      </c>
      <c r="B204" s="100" t="inlineStr">
        <is>
          <t>Vật tư phụ</t>
        </is>
      </c>
      <c r="C204" s="101" t="n"/>
      <c r="D204" s="102" t="n"/>
      <c r="E204" s="103" t="inlineStr">
        <is>
          <t>lô</t>
        </is>
      </c>
      <c r="F204" s="104" t="n">
        <v>1</v>
      </c>
      <c r="G204" s="105" t="n"/>
      <c r="H204" s="105">
        <f>G204*F204</f>
        <v/>
      </c>
      <c r="I204" s="106" t="n"/>
      <c r="K204" s="107">
        <f>+B204</f>
        <v/>
      </c>
      <c r="L204" s="108" t="n"/>
      <c r="M204" s="108" t="n"/>
      <c r="N204" s="108" t="n"/>
      <c r="O204" s="63" t="n"/>
      <c r="P204" s="63" t="n"/>
      <c r="Q204" s="64" t="n"/>
      <c r="R204" s="65" t="n"/>
      <c r="S204" s="66" t="n"/>
      <c r="T204" s="63" t="n"/>
      <c r="U204" s="63" t="n"/>
      <c r="V204" s="97">
        <f>(IF(OR(L204="t",L204="TA",),(M204+N204)*2/1000*S204/1000,(IF(OR(L204="F",L204="M"),(M204*N204),IF(L204="d",(M204+N204+U204/1/2)*2*S204,IF(L204="tb",((M204+N204)*2*S204+M204*N204),IF(OR(L204="g",L204="n"),((M204+O204)*SQRT((S204)^2+((N204-P204)/2)^2)+(N204+P204)*SQRT((S204)^2+((M204-O204)/2)^2)),IF(LEFT(L204,1)="c",(2*(PI()*((M204+T204)^2-T204^2)+N204*(PI()*(M204+T204)+PI()*T204))*(U204/360)),IF(LEFT(L204,2)="vt",((M204+O204)*SQRT((S204)^2+((N204-P204)/2)^2)+(N204+P204)*SQRT((S204)^2+((M204-O204)/2)^2)+((T204+200)^2-(T204/2)^2*3.14)),IF(L204="tt",(2*(M204+N204)*(S204-1.5*O204)+(PI()*(3*O204+2/3*M204)*(O204+2/3*M204+P204+N204)-(P204+N204)*(PI()*1.5*O204))/8+(PI()*(3*Q204+2/3*M204)*(Q204+2/3*M204+R204+N204)-(R204+N204)*(PI()*1.5*Q204))/8),0))))))))/10^6))</f>
        <v/>
      </c>
      <c r="W204" s="68" t="n"/>
      <c r="X204" s="98" t="n"/>
    </row>
    <row r="205" ht="26.25" customFormat="1" customHeight="1" s="113">
      <c r="A205" s="109" t="inlineStr">
        <is>
          <t>A</t>
        </is>
      </c>
      <c r="B205" s="209" t="inlineStr">
        <is>
          <t>Tổng cộng giá trước thuế</t>
        </is>
      </c>
      <c r="C205" s="238" t="n"/>
      <c r="D205" s="238" t="n"/>
      <c r="E205" s="238" t="n"/>
      <c r="F205" s="215" t="n"/>
      <c r="G205" s="209" t="n"/>
      <c r="H205" s="111" t="n">
        <v>546531107.5</v>
      </c>
      <c r="I205" s="112" t="n"/>
      <c r="Z205" s="114" t="n"/>
      <c r="AA205" s="115" t="n"/>
    </row>
    <row r="206" ht="26.25" customFormat="1" customHeight="1" s="113">
      <c r="A206" s="109" t="inlineStr">
        <is>
          <t>B</t>
        </is>
      </c>
      <c r="B206" s="210" t="inlineStr">
        <is>
          <t>Thuế GTGT 10%</t>
        </is>
      </c>
      <c r="C206" s="238" t="n"/>
      <c r="D206" s="238" t="n"/>
      <c r="E206" s="238" t="n"/>
      <c r="F206" s="215" t="n"/>
      <c r="G206" s="210" t="n"/>
      <c r="H206" s="111" t="n">
        <v>54653110.75</v>
      </c>
      <c r="I206" s="112" t="n"/>
    </row>
    <row r="207" ht="26.25" customFormat="1" customHeight="1" s="113">
      <c r="A207" s="117" t="inlineStr">
        <is>
          <t>C</t>
        </is>
      </c>
      <c r="B207" s="210" t="inlineStr">
        <is>
          <t>Vận chuyển</t>
        </is>
      </c>
      <c r="C207" s="238" t="n"/>
      <c r="D207" s="238" t="n"/>
      <c r="E207" s="215" t="n"/>
      <c r="F207" s="118" t="inlineStr">
        <is>
          <t>Chuyến</t>
        </is>
      </c>
      <c r="G207" s="119" t="n"/>
      <c r="H207" s="120" t="n"/>
      <c r="I207" s="121" t="n"/>
    </row>
    <row r="208" ht="26.25" customFormat="1" customHeight="1" s="113">
      <c r="A208" s="117" t="inlineStr">
        <is>
          <t>D</t>
        </is>
      </c>
      <c r="B208" s="210" t="inlineStr">
        <is>
          <t>Thuế GTGT 8%</t>
        </is>
      </c>
      <c r="C208" s="238" t="n"/>
      <c r="D208" s="238" t="n"/>
      <c r="E208" s="215" t="n"/>
      <c r="F208" s="118" t="n"/>
      <c r="G208" s="119" t="n"/>
      <c r="H208" s="120">
        <f>H207*8%</f>
        <v/>
      </c>
      <c r="I208" s="121" t="n"/>
    </row>
    <row r="209" ht="26.25" customFormat="1" customHeight="1" s="113" thickBot="1">
      <c r="A209" s="122" t="inlineStr">
        <is>
          <t>E</t>
        </is>
      </c>
      <c r="B209" s="214" t="inlineStr">
        <is>
          <t>Tổng cộng giá sau thuế</t>
        </is>
      </c>
      <c r="C209" s="239" t="n"/>
      <c r="D209" s="239" t="n"/>
      <c r="E209" s="239" t="n"/>
      <c r="F209" s="240" t="n"/>
      <c r="G209" s="214" t="n"/>
      <c r="H209" s="124" t="n">
        <v>601184218.25</v>
      </c>
      <c r="I209" s="125" t="n"/>
    </row>
    <row r="210" ht="16.5" customHeight="1" thickTop="1">
      <c r="A210" s="60" t="n"/>
      <c r="B210" s="126" t="inlineStr">
        <is>
          <t xml:space="preserve">Viết bằng chữ </t>
        </is>
      </c>
      <c r="C210" s="127" t="n"/>
      <c r="D210" s="60" t="n"/>
      <c r="E210" s="60" t="n"/>
      <c r="F210" s="128" t="n"/>
      <c r="I210" s="130" t="n"/>
    </row>
    <row r="211" ht="15.75" customHeight="1">
      <c r="A211" s="60" t="n"/>
      <c r="B211" s="126" t="inlineStr">
        <is>
          <t xml:space="preserve">Ghi chú :  </t>
        </is>
      </c>
      <c r="C211" s="127" t="n"/>
      <c r="D211" s="60" t="n"/>
      <c r="E211" s="60" t="n"/>
      <c r="F211" s="128" t="n"/>
      <c r="I211" s="130" t="n"/>
    </row>
    <row r="212" ht="15.75" customHeight="1">
      <c r="A212" s="60" t="n"/>
      <c r="B212" s="131" t="inlineStr">
        <is>
          <t>1. Hình thức hàng hóa mới 100%</t>
        </is>
      </c>
      <c r="C212" s="113" t="n"/>
      <c r="D212" s="132" t="n"/>
      <c r="E212" s="132" t="n"/>
      <c r="F212" s="133" t="n"/>
      <c r="G212" s="133" t="n"/>
      <c r="I212" s="130" t="n"/>
    </row>
    <row r="213" ht="15.75" customHeight="1">
      <c r="A213" s="60" t="n"/>
      <c r="B213" s="131" t="inlineStr">
        <is>
          <t>2. Các nhãn hàng là cố định</t>
        </is>
      </c>
      <c r="C213" s="54" t="n"/>
      <c r="D213" s="132" t="n"/>
      <c r="E213" s="132" t="n"/>
      <c r="F213" s="133" t="n"/>
      <c r="G213" s="133" t="n"/>
      <c r="I213" s="130" t="n"/>
    </row>
    <row r="214" ht="15.75" customHeight="1">
      <c r="A214" s="60" t="n"/>
      <c r="B214" s="131" t="inlineStr">
        <is>
          <t>3. Cấp đầy đủ tài liệu như catalogue, CO/CQ, chứng nhận chất lượng sản phẩm.</t>
        </is>
      </c>
      <c r="C214" s="54" t="n"/>
      <c r="D214" s="132" t="n"/>
      <c r="E214" s="134" t="n"/>
      <c r="F214" s="133" t="n"/>
      <c r="G214" s="133" t="n"/>
      <c r="I214" s="130" t="n"/>
    </row>
    <row r="215" ht="15.75" customHeight="1">
      <c r="A215" s="60" t="n"/>
      <c r="B215" s="131" t="inlineStr">
        <is>
          <t>4. Cấp đầy đủ phiếu đánh giá kiểm tra xuất xưởng.</t>
        </is>
      </c>
      <c r="C215" s="135" t="n"/>
      <c r="D215" s="132" t="n"/>
      <c r="E215" s="132" t="n"/>
      <c r="F215" s="133" t="n"/>
      <c r="G215" s="133" t="n"/>
      <c r="I215" s="130" t="n"/>
    </row>
    <row r="216" ht="15.75" customHeight="1">
      <c r="A216" s="60" t="n"/>
      <c r="B216" s="136" t="inlineStr">
        <is>
          <t xml:space="preserve">5. Đơn giá chưa bao gồm vận chuyển </t>
        </is>
      </c>
      <c r="C216" s="135" t="n"/>
      <c r="D216" s="132" t="n"/>
      <c r="E216" s="132" t="n"/>
      <c r="F216" s="133" t="n"/>
      <c r="G216" s="133" t="n"/>
      <c r="I216" s="130" t="n"/>
    </row>
    <row r="217" ht="15.75" customHeight="1">
      <c r="A217" s="60" t="n"/>
      <c r="B217" s="131" t="inlineStr">
        <is>
          <t>6. Tạm ứng 50% ngay khi đặt hàng, thanh toán 100 % sau khi báo giao hàng .</t>
        </is>
      </c>
      <c r="C217" s="137" t="n"/>
      <c r="D217" s="138" t="n"/>
      <c r="E217" s="138" t="n"/>
      <c r="F217" s="139" t="n"/>
      <c r="G217" s="139" t="n"/>
      <c r="I217" s="130" t="n"/>
    </row>
    <row r="218" ht="15.75" customHeight="1">
      <c r="A218" s="60" t="n"/>
      <c r="B218" s="140" t="inlineStr">
        <is>
          <t>7. Tài khoản công ty : 115002876407  ngân hàng TMCP công thương Việt Nam, chi nhánh Bình Xuyên, Vĩnh Phúc - PGD Hương Canh</t>
        </is>
      </c>
      <c r="C218" s="141" t="n"/>
      <c r="D218" s="142" t="n"/>
      <c r="E218" s="142" t="n"/>
      <c r="F218" s="143" t="n"/>
      <c r="G218" s="143" t="n"/>
      <c r="H218" s="143" t="n"/>
      <c r="I218" s="129" t="n"/>
      <c r="J218" s="130" t="n"/>
    </row>
    <row r="219" ht="15.75" customHeight="1">
      <c r="A219" s="60" t="n"/>
      <c r="B219" s="131" t="inlineStr">
        <is>
          <t>Chủ tài khoản : CÔNG TY TNHH SẢN XUẤT THƯƠNG MẠI VÀ XÂY LẮP KAIYO VIỆT NAM</t>
        </is>
      </c>
      <c r="C219" s="135" t="n"/>
      <c r="D219" s="142" t="n"/>
      <c r="E219" s="142" t="n"/>
      <c r="F219" s="143" t="n"/>
      <c r="G219" s="143" t="n"/>
      <c r="H219" s="143" t="n"/>
      <c r="I219" s="129" t="n"/>
      <c r="J219" s="130" t="n"/>
    </row>
    <row r="220" ht="15.75" customHeight="1">
      <c r="A220" s="60" t="n"/>
      <c r="B220" s="131" t="n"/>
      <c r="C220" s="135" t="n"/>
      <c r="D220" s="142" t="n"/>
      <c r="E220" s="142" t="n"/>
      <c r="F220" s="143" t="n"/>
      <c r="G220" s="143" t="n"/>
      <c r="I220" s="130" t="n"/>
    </row>
    <row r="221" ht="15.75" customHeight="1">
      <c r="A221" s="60" t="n"/>
      <c r="B221" s="141" t="inlineStr">
        <is>
          <t>XÁC NHẬN BÊN MUA</t>
        </is>
      </c>
      <c r="C221" s="144" t="n"/>
      <c r="D221" s="144" t="n"/>
      <c r="E221" s="141" t="n"/>
      <c r="F221" s="141" t="n"/>
      <c r="G221" s="141" t="inlineStr">
        <is>
          <t>XÁC NHẬN BÊN BÁN</t>
        </is>
      </c>
      <c r="I221" s="130" t="n"/>
    </row>
    <row r="222" ht="15.75" customHeight="1">
      <c r="A222" s="60" t="n"/>
      <c r="B222" s="145" t="inlineStr">
        <is>
          <t>(Ký tên, đóng dấu)</t>
        </is>
      </c>
      <c r="C222" s="144" t="n"/>
      <c r="D222" s="144" t="n"/>
      <c r="E222" s="146" t="n"/>
      <c r="F222" s="145" t="n"/>
      <c r="G222" s="145" t="inlineStr">
        <is>
          <t>(Ký tên, đóng dấu)</t>
        </is>
      </c>
      <c r="I222" s="130" t="n"/>
    </row>
    <row r="223" ht="15.75" customHeight="1">
      <c r="A223" s="60" t="n"/>
      <c r="B223" s="147" t="n"/>
      <c r="C223" s="144" t="n"/>
      <c r="D223" s="144" t="n"/>
      <c r="E223" s="148" t="n"/>
      <c r="F223" s="149" t="n"/>
      <c r="G223" s="149" t="n"/>
      <c r="I223" s="130" t="n"/>
    </row>
  </sheetData>
  <autoFilter ref="A22:AA219"/>
  <mergeCells count="33">
    <mergeCell ref="A15:B15"/>
    <mergeCell ref="B209:F209"/>
    <mergeCell ref="A11:B11"/>
    <mergeCell ref="D21:D22"/>
    <mergeCell ref="A18:I18"/>
    <mergeCell ref="B207:E207"/>
    <mergeCell ref="F21:F22"/>
    <mergeCell ref="A16:B16"/>
    <mergeCell ref="W20:X20"/>
    <mergeCell ref="C21:C22"/>
    <mergeCell ref="I21:I22"/>
    <mergeCell ref="A8:I8"/>
    <mergeCell ref="B208:E208"/>
    <mergeCell ref="A21:A22"/>
    <mergeCell ref="A12:B12"/>
    <mergeCell ref="A19:I19"/>
    <mergeCell ref="C12:G12"/>
    <mergeCell ref="B205:F205"/>
    <mergeCell ref="L20:V20"/>
    <mergeCell ref="C11:G11"/>
    <mergeCell ref="A14:B14"/>
    <mergeCell ref="B206:F206"/>
    <mergeCell ref="C10:I10"/>
    <mergeCell ref="A17:B17"/>
    <mergeCell ref="C9:I9"/>
    <mergeCell ref="A20:H20"/>
    <mergeCell ref="A10:B10"/>
    <mergeCell ref="E21:E22"/>
    <mergeCell ref="A13:B13"/>
    <mergeCell ref="A9:B9"/>
    <mergeCell ref="C13:G13"/>
    <mergeCell ref="B21:B22"/>
    <mergeCell ref="K20:K21"/>
  </mergeCells>
  <conditionalFormatting sqref="F212:G215 F220:G223">
    <cfRule type="cellIs" priority="3" operator="lessThan" dxfId="0" stopIfTrue="1">
      <formula>0.05</formula>
    </cfRule>
  </conditionalFormatting>
  <conditionalFormatting sqref="F216:G217">
    <cfRule type="cellIs" priority="2" operator="lessThan" dxfId="0" stopIfTrue="1">
      <formula>0.05</formula>
    </cfRule>
  </conditionalFormatting>
  <conditionalFormatting sqref="F218:H219">
    <cfRule type="cellIs" priority="1" operator="lessThan" dxfId="0" stopIfTrue="1">
      <formula>0.05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2020-04-25T03:18:34Z</dcterms:created>
  <dcterms:modified xsi:type="dcterms:W3CDTF">2026-07-11T20:03:12Z</dcterms:modified>
  <cp:lastModifiedBy>admin</cp:lastModifiedBy>
  <cp:lastPrinted>2020-04-27T11:53:15Z</cp:lastPrinted>
</cp:coreProperties>
</file>