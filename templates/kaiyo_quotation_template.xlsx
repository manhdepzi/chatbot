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840"/>
  </bookViews>
  <sheets>
    <sheet name="Mẫu - xây lắp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<sst xmlns="http://schemas.openxmlformats.org/spreadsheetml/2006/main" count="99" uniqueCount="93">
  <si>
    <t xml:space="preserve">              </t>
  </si>
  <si>
    <t>BÁO GIÁ - QUOTATION</t>
  </si>
  <si>
    <t>Kính Gửi:</t>
  </si>
  <si>
    <t>Mã SP</t>
  </si>
  <si>
    <t>Địa Chỉ:</t>
  </si>
  <si>
    <t xml:space="preserve">Ống </t>
  </si>
  <si>
    <t>t</t>
  </si>
  <si>
    <t xml:space="preserve">Mã số thuế: </t>
  </si>
  <si>
    <t>Người Nhận</t>
  </si>
  <si>
    <t xml:space="preserve">Ống bịt đầu </t>
  </si>
  <si>
    <t>tb</t>
  </si>
  <si>
    <t>Số ĐT:</t>
  </si>
  <si>
    <t>Số điện thoại</t>
  </si>
  <si>
    <t>Côn thu / giảm cấp</t>
  </si>
  <si>
    <t>g</t>
  </si>
  <si>
    <t>Bên Bán:</t>
  </si>
  <si>
    <t>: Công ty TNHH sản xuất,  thương mại và xây lắp Kaiyo Việt Nam</t>
  </si>
  <si>
    <t>Dự án</t>
  </si>
  <si>
    <t>Zét / Down-up</t>
  </si>
  <si>
    <t>d</t>
  </si>
  <si>
    <t>Xưởng sản xuất &amp; VPGD:</t>
  </si>
  <si>
    <t>: Lô F49, Cụm Công nghiệp Làng nghề Minh Phương, Xã Nguyệt Đức, Tỉnh Phú Thọ, Việt Nam</t>
  </si>
  <si>
    <t>Số BG :</t>
  </si>
  <si>
    <t xml:space="preserve">Cút / Co </t>
  </si>
  <si>
    <t>cv</t>
  </si>
  <si>
    <t>: 0987869292</t>
  </si>
  <si>
    <t>Ngày BG</t>
  </si>
  <si>
    <t>Chân rẽ / Nối chân</t>
  </si>
  <si>
    <t>n</t>
  </si>
  <si>
    <t>Mã số thuế:</t>
  </si>
  <si>
    <t>: 2500582409</t>
  </si>
  <si>
    <t xml:space="preserve">Hiệu lực           </t>
  </si>
  <si>
    <t>03-05 ngày</t>
  </si>
  <si>
    <t xml:space="preserve">Côn đầu quạt </t>
  </si>
  <si>
    <t>vt</t>
  </si>
  <si>
    <t>N/V Báo Giá:</t>
  </si>
  <si>
    <t>: Mr. Kaiyo VN</t>
  </si>
  <si>
    <t xml:space="preserve">Tiến độ </t>
  </si>
  <si>
    <t>Theo dự án</t>
  </si>
  <si>
    <t>tê/chạc 3</t>
  </si>
  <si>
    <t>tt</t>
  </si>
  <si>
    <t>Kaiyo Việt Nam chân thành cảm ơn quý khách đã tin tưởng sản phẩm của chúng tôi</t>
  </si>
  <si>
    <t>Theo yêu cầu của quý khách, chúng tôi xin được gửi báo giá với nội dung như sau:</t>
  </si>
  <si>
    <t>Tên vật tư, thiết bị</t>
  </si>
  <si>
    <t>BẢNG TÍNH DIỆN TÍCH</t>
  </si>
  <si>
    <t>BẢNG TÍNH GIÁ TRỊ</t>
  </si>
  <si>
    <t>STT</t>
  </si>
  <si>
    <t xml:space="preserve">Vật liệu chế tạo </t>
  </si>
  <si>
    <t xml:space="preserve">Xuất Xứ </t>
  </si>
  <si>
    <t>Đơn vị</t>
  </si>
  <si>
    <t>Khối lượng</t>
  </si>
  <si>
    <t xml:space="preserve">Đơn giá </t>
  </si>
  <si>
    <t xml:space="preserve">Thành tiền </t>
  </si>
  <si>
    <t>Ghi chú</t>
  </si>
  <si>
    <t>W1</t>
  </si>
  <si>
    <t>H1</t>
  </si>
  <si>
    <t>W2</t>
  </si>
  <si>
    <t>H2</t>
  </si>
  <si>
    <t>W3</t>
  </si>
  <si>
    <t>H3</t>
  </si>
  <si>
    <t>L/H</t>
  </si>
  <si>
    <t>R/D</t>
  </si>
  <si>
    <t>E</t>
  </si>
  <si>
    <t xml:space="preserve">DIỆN TÍCH /CÁI </t>
  </si>
  <si>
    <t>Giá tôn</t>
  </si>
  <si>
    <t>hệ số</t>
  </si>
  <si>
    <t xml:space="preserve">Vật tư </t>
  </si>
  <si>
    <t>Vật tư</t>
  </si>
  <si>
    <t xml:space="preserve">Thép mạ kẽm độ mạ Z080 dày 1.15 </t>
  </si>
  <si>
    <t>Kaiyo Việt Nam</t>
  </si>
  <si>
    <t>A</t>
  </si>
  <si>
    <t xml:space="preserve">Tổng cộng giá trước thuế </t>
  </si>
  <si>
    <t>B</t>
  </si>
  <si>
    <t>Thuế GTGT 10%</t>
  </si>
  <si>
    <t>C</t>
  </si>
  <si>
    <t>Vận chuyển</t>
  </si>
  <si>
    <t>Chuyến</t>
  </si>
  <si>
    <t>D</t>
  </si>
  <si>
    <t>Thuế GTGT 8%</t>
  </si>
  <si>
    <t>Tổng cộng giá sau thuế</t>
  </si>
  <si>
    <t xml:space="preserve">Viết bằng chữ </t>
  </si>
  <si>
    <t xml:space="preserve">Ghi chú :  </t>
  </si>
  <si>
    <t>1. Hình thức hàng hóa mới 100%</t>
  </si>
  <si>
    <t>2. Các nhãn hàng là cố định</t>
  </si>
  <si>
    <t>3. Cấp đầy đủ tài liệu như catalogue, CO/CQ, chứng nhận chất lượng sản phẩm.</t>
  </si>
  <si>
    <t>4. Cấp đầy đủ phiếu đánh giá kiểm tra xuất xưởng.</t>
  </si>
  <si>
    <t xml:space="preserve">5. Đơn giá chưa bao gồm vận chuyển </t>
  </si>
  <si>
    <t>6. Tạm ứng 50% ngay khi đặt hàng, thanh toán 100 % sau khi báo giao hàng .</t>
  </si>
  <si>
    <t>7. Tài khoản công ty : 115002876407  ngân hàng TMCP công thương Việt Nam, chi nhánh Bình Xuyên, Vĩnh Phúc - PGD Hương Canh</t>
  </si>
  <si>
    <t>Chủ tài khoản : CÔNG TY TNHH SẢN XUẤT THƯƠNG MẠI VÀ XÂY LẮP KAIYO VIỆT NAM</t>
  </si>
  <si>
    <t>XÁC NHẬN BÊN MUA</t>
  </si>
  <si>
    <t>XÁC NHẬN BÊN BÁN</t>
  </si>
  <si>
    <t>(Ký tên, đóng dấu)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</si>
</sst>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3" formatCode="_-* #,##0.00\ _₫_-;\-* #,##0.00\ _₫_-;_-* &quot;-&quot;??\ _₫_-;_-@_-"/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_(* #,##0.00_);_(* \(#,##0.00\);_(* &quot;-&quot;??_);_(@_)"/>
    <numFmt numFmtId="181" formatCode="_(* #,##0_);_(* \(#,##0\);_(* &quot;-&quot;??_);_(@_)"/>
    <numFmt numFmtId="182" formatCode="_-* #,##0_-;\-* #,##0_-;_-* &quot;-&quot;??_-;_-@_-"/>
    <numFmt numFmtId="183" formatCode="0.0"/>
    <numFmt numFmtId="184" formatCode="_-* #,##0\ _₫_-;\-* #,##0\ _₫_-;_-* &quot;-&quot;??\ _₫_-;_-@_-"/>
    <numFmt numFmtId="185" formatCode="_(* #,##0.0_);_(* \(#,##0.0\);_(* &quot;-&quot;??_);_(@_)"/>
  </numFmts>
  <fonts count="49">
    <font>
      <sz val="11"/>
      <color theme="1"/>
      <name val="Calibri"/>
      <charset val="134"/>
      <scheme val="minor"/>
    </font>
    <font>
      <sz val="12"/>
      <color rgb="FF000000"/>
      <name val="Times New Roman"/>
      <charset val="134"/>
    </font>
    <font>
      <sz val="12"/>
      <color theme="1"/>
      <name val="Times New Roman"/>
      <charset val="134"/>
    </font>
    <font>
      <sz val="12"/>
      <color rgb="FF000000"/>
      <name val="Arial"/>
      <charset val="134"/>
    </font>
    <font>
      <sz val="12"/>
      <name val="Times New Roman"/>
      <charset val="134"/>
    </font>
    <font>
      <sz val="12"/>
      <color indexed="9"/>
      <name val="Times New Roman"/>
      <charset val="134"/>
    </font>
    <font>
      <b/>
      <sz val="20"/>
      <name val="Times New Roman"/>
      <charset val="134"/>
    </font>
    <font>
      <b/>
      <sz val="12"/>
      <color theme="1"/>
      <name val="Times New Roman"/>
      <charset val="134"/>
    </font>
    <font>
      <b/>
      <sz val="12"/>
      <name val="Times New Roman"/>
      <charset val="134"/>
    </font>
    <font>
      <sz val="10"/>
      <color rgb="FF000000"/>
      <name val="Times New Roman"/>
      <charset val="134"/>
    </font>
    <font>
      <sz val="12"/>
      <color rgb="FF001A33"/>
      <name val="Times New Roman"/>
      <charset val="134"/>
    </font>
    <font>
      <sz val="13"/>
      <color rgb="FFFF0000"/>
      <name val="Times New Roman"/>
      <charset val="134"/>
    </font>
    <font>
      <i/>
      <sz val="12"/>
      <name val="Times New Roman"/>
      <charset val="134"/>
    </font>
    <font>
      <b/>
      <sz val="14"/>
      <name val="Times New Roman"/>
      <charset val="134"/>
    </font>
    <font>
      <sz val="14"/>
      <color rgb="FF000000"/>
      <name val="Arial"/>
      <charset val="134"/>
    </font>
    <font>
      <b/>
      <i/>
      <sz val="12"/>
      <color rgb="FFFF0000"/>
      <name val="Times New Roman"/>
      <charset val="134"/>
    </font>
    <font>
      <b/>
      <i/>
      <sz val="13"/>
      <name val="Times New Roman"/>
      <charset val="134"/>
    </font>
    <font>
      <i/>
      <sz val="13"/>
      <name val="Times New Roman"/>
      <charset val="134"/>
    </font>
    <font>
      <sz val="13"/>
      <color indexed="8"/>
      <name val="Times New Roman"/>
      <charset val="134"/>
    </font>
    <font>
      <sz val="13"/>
      <color theme="1"/>
      <name val="Times New Roman"/>
      <charset val="134"/>
    </font>
    <font>
      <sz val="13"/>
      <name val="Times New Roman"/>
      <charset val="134"/>
    </font>
    <font>
      <b/>
      <sz val="13"/>
      <name val="Times New Roman"/>
      <charset val="134"/>
    </font>
    <font>
      <b/>
      <u/>
      <sz val="12"/>
      <color rgb="FF000000"/>
      <name val="Times New Roman"/>
      <charset val="134"/>
    </font>
    <font>
      <b/>
      <sz val="12"/>
      <color rgb="FF000000"/>
      <name val="Times New Roman"/>
      <charset val="134"/>
    </font>
    <font>
      <sz val="12"/>
      <color rgb="FFFF0000"/>
      <name val="Times New Roman"/>
      <charset val="134"/>
    </font>
    <font>
      <b/>
      <i/>
      <sz val="12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VNI-Aptima"/>
      <charset val="134"/>
    </font>
    <font>
      <sz val="11"/>
      <color theme="1"/>
      <name val="Calibri"/>
      <charset val="134"/>
      <scheme val="minor"/>
    </font>
    <font>
      <sz val="10"/>
      <name val="Arial"/>
      <charset val="134"/>
    </font>
    <font>
      <sz val="11"/>
      <color theme="1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0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6" borderId="52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53" applyNumberFormat="0" applyFill="0" applyAlignment="0" applyProtection="0">
      <alignment vertical="center"/>
    </xf>
    <xf numFmtId="0" fontId="32" fillId="0" borderId="53" applyNumberFormat="0" applyFill="0" applyAlignment="0" applyProtection="0">
      <alignment vertical="center"/>
    </xf>
    <xf numFmtId="0" fontId="33" fillId="0" borderId="54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7" borderId="55" applyNumberFormat="0" applyAlignment="0" applyProtection="0">
      <alignment vertical="center"/>
    </xf>
    <xf numFmtId="0" fontId="35" fillId="8" borderId="56" applyNumberFormat="0" applyAlignment="0" applyProtection="0">
      <alignment vertical="center"/>
    </xf>
    <xf numFmtId="0" fontId="36" fillId="8" borderId="55" applyNumberFormat="0" applyAlignment="0" applyProtection="0">
      <alignment vertical="center"/>
    </xf>
    <xf numFmtId="0" fontId="37" fillId="9" borderId="57" applyNumberFormat="0" applyAlignment="0" applyProtection="0">
      <alignment vertical="center"/>
    </xf>
    <xf numFmtId="0" fontId="38" fillId="0" borderId="58" applyNumberFormat="0" applyFill="0" applyAlignment="0" applyProtection="0">
      <alignment vertical="center"/>
    </xf>
    <xf numFmtId="0" fontId="39" fillId="0" borderId="59" applyNumberFormat="0" applyFill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/>
    <xf numFmtId="180" fontId="46" fillId="0" borderId="0" applyFont="0" applyFill="0" applyBorder="0" applyAlignment="0" applyProtection="0"/>
    <xf numFmtId="180" fontId="47" fillId="0" borderId="0" applyFont="0" applyFill="0" applyBorder="0" applyAlignment="0" applyProtection="0"/>
    <xf numFmtId="0" fontId="48" fillId="0" borderId="0"/>
    <xf numFmtId="0" fontId="47" fillId="0" borderId="0"/>
  </cellStyleXfs>
  <cellXfs count="149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/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0" fontId="4" fillId="0" borderId="1" xfId="0" applyFont="1" applyFill="1" applyBorder="1" applyAlignment="1"/>
    <xf numFmtId="0" fontId="4" fillId="0" borderId="2" xfId="0" applyFont="1" applyFill="1" applyBorder="1" applyAlignment="1"/>
    <xf numFmtId="0" fontId="4" fillId="0" borderId="2" xfId="0" applyFont="1" applyFill="1" applyBorder="1" applyAlignment="1">
      <alignment horizontal="center" vertical="center"/>
    </xf>
    <xf numFmtId="4" fontId="4" fillId="2" borderId="2" xfId="0" applyNumberFormat="1" applyFont="1" applyFill="1" applyBorder="1" applyAlignment="1">
      <alignment horizontal="right"/>
    </xf>
    <xf numFmtId="181" fontId="4" fillId="0" borderId="2" xfId="1" applyNumberFormat="1" applyFont="1" applyFill="1" applyBorder="1" applyAlignment="1">
      <alignment horizontal="center"/>
    </xf>
    <xf numFmtId="181" fontId="5" fillId="0" borderId="3" xfId="1" applyNumberFormat="1" applyFont="1" applyFill="1" applyBorder="1" applyAlignment="1">
      <alignment horizontal="left"/>
    </xf>
    <xf numFmtId="0" fontId="4" fillId="0" borderId="4" xfId="0" applyFont="1" applyFill="1" applyBorder="1" applyAlignment="1"/>
    <xf numFmtId="0" fontId="4" fillId="0" borderId="0" xfId="0" applyFont="1" applyFill="1" applyAlignment="1"/>
    <xf numFmtId="0" fontId="4" fillId="0" borderId="0" xfId="0" applyFont="1" applyFill="1" applyAlignment="1">
      <alignment horizontal="center" vertical="center"/>
    </xf>
    <xf numFmtId="4" fontId="4" fillId="2" borderId="0" xfId="0" applyNumberFormat="1" applyFont="1" applyFill="1" applyAlignment="1">
      <alignment horizontal="right"/>
    </xf>
    <xf numFmtId="181" fontId="4" fillId="0" borderId="0" xfId="1" applyNumberFormat="1" applyFont="1" applyFill="1" applyBorder="1" applyAlignment="1">
      <alignment horizontal="center"/>
    </xf>
    <xf numFmtId="181" fontId="5" fillId="0" borderId="5" xfId="1" applyNumberFormat="1" applyFont="1" applyFill="1" applyBorder="1" applyAlignment="1">
      <alignment horizontal="left"/>
    </xf>
    <xf numFmtId="0" fontId="6" fillId="0" borderId="4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vertical="center" wrapText="1"/>
    </xf>
    <xf numFmtId="0" fontId="8" fillId="0" borderId="7" xfId="0" applyFont="1" applyFill="1" applyBorder="1" applyAlignment="1">
      <alignment vertical="center"/>
    </xf>
    <xf numFmtId="0" fontId="8" fillId="0" borderId="8" xfId="0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0" fontId="9" fillId="0" borderId="9" xfId="0" applyFont="1" applyFill="1" applyBorder="1" applyAlignment="1">
      <alignment vertical="center"/>
    </xf>
    <xf numFmtId="0" fontId="1" fillId="3" borderId="9" xfId="49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  <xf numFmtId="0" fontId="4" fillId="0" borderId="12" xfId="0" applyFont="1" applyFill="1" applyBorder="1" applyAlignment="1">
      <alignment vertical="center" wrapText="1"/>
    </xf>
    <xf numFmtId="0" fontId="4" fillId="0" borderId="13" xfId="0" applyFont="1" applyFill="1" applyBorder="1" applyAlignment="1">
      <alignment vertical="center" wrapText="1"/>
    </xf>
    <xf numFmtId="0" fontId="4" fillId="0" borderId="14" xfId="0" applyFont="1" applyFill="1" applyBorder="1" applyAlignment="1">
      <alignment vertical="center" wrapText="1"/>
    </xf>
    <xf numFmtId="0" fontId="1" fillId="0" borderId="9" xfId="0" applyFont="1" applyFill="1" applyBorder="1" applyAlignment="1"/>
    <xf numFmtId="0" fontId="4" fillId="2" borderId="12" xfId="0" applyFont="1" applyFill="1" applyBorder="1" applyAlignment="1">
      <alignment horizontal="left"/>
    </xf>
    <xf numFmtId="0" fontId="4" fillId="2" borderId="13" xfId="0" applyFont="1" applyFill="1" applyBorder="1" applyAlignment="1">
      <alignment horizontal="left"/>
    </xf>
    <xf numFmtId="0" fontId="4" fillId="2" borderId="15" xfId="0" applyFont="1" applyFill="1" applyBorder="1" applyAlignment="1">
      <alignment horizontal="left"/>
    </xf>
    <xf numFmtId="0" fontId="4" fillId="0" borderId="11" xfId="0" applyFont="1" applyFill="1" applyBorder="1" applyAlignment="1"/>
    <xf numFmtId="0" fontId="10" fillId="0" borderId="16" xfId="0" applyFont="1" applyFill="1" applyBorder="1" applyAlignment="1"/>
    <xf numFmtId="3" fontId="2" fillId="2" borderId="16" xfId="0" applyNumberFormat="1" applyFont="1" applyFill="1" applyBorder="1" applyAlignment="1">
      <alignment horizontal="left" vertical="center"/>
    </xf>
    <xf numFmtId="0" fontId="7" fillId="2" borderId="10" xfId="0" applyFont="1" applyFill="1" applyBorder="1" applyAlignment="1">
      <alignment vertical="center" wrapText="1"/>
    </xf>
    <xf numFmtId="0" fontId="7" fillId="2" borderId="11" xfId="0" applyFont="1" applyFill="1" applyBorder="1" applyAlignment="1">
      <alignment vertical="center" wrapText="1"/>
    </xf>
    <xf numFmtId="0" fontId="7" fillId="2" borderId="12" xfId="0" applyFont="1" applyFill="1" applyBorder="1" applyAlignment="1">
      <alignment horizontal="left" vertical="center"/>
    </xf>
    <xf numFmtId="0" fontId="7" fillId="2" borderId="13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vertical="center"/>
    </xf>
    <xf numFmtId="58" fontId="11" fillId="0" borderId="14" xfId="0" applyNumberFormat="1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15" xfId="0" applyFont="1" applyFill="1" applyBorder="1" applyAlignment="1">
      <alignment vertical="center"/>
    </xf>
    <xf numFmtId="0" fontId="4" fillId="0" borderId="11" xfId="0" applyFont="1" applyFill="1" applyBorder="1" applyAlignment="1">
      <alignment vertical="center"/>
    </xf>
    <xf numFmtId="0" fontId="2" fillId="2" borderId="16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vertical="center" wrapText="1"/>
    </xf>
    <xf numFmtId="0" fontId="2" fillId="2" borderId="18" xfId="0" applyFont="1" applyFill="1" applyBorder="1" applyAlignment="1">
      <alignment vertical="center" wrapText="1"/>
    </xf>
    <xf numFmtId="0" fontId="4" fillId="2" borderId="19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21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2" fillId="2" borderId="22" xfId="0" applyFont="1" applyFill="1" applyBorder="1" applyAlignment="1">
      <alignment horizontal="left" vertical="center"/>
    </xf>
    <xf numFmtId="181" fontId="1" fillId="4" borderId="0" xfId="0" applyNumberFormat="1" applyFont="1" applyFill="1" applyAlignment="1"/>
    <xf numFmtId="0" fontId="12" fillId="0" borderId="4" xfId="0" applyFont="1" applyFill="1" applyBorder="1" applyAlignment="1">
      <alignment horizontal="left" vertical="center" wrapText="1"/>
    </xf>
    <xf numFmtId="0" fontId="12" fillId="0" borderId="0" xfId="0" applyFont="1" applyFill="1" applyAlignment="1">
      <alignment horizontal="left"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" fillId="4" borderId="0" xfId="0" applyFont="1" applyFill="1" applyAlignment="1"/>
    <xf numFmtId="0" fontId="13" fillId="0" borderId="0" xfId="0" applyFont="1" applyFill="1" applyAlignment="1">
      <alignment horizontal="center" vertical="center"/>
    </xf>
    <xf numFmtId="0" fontId="14" fillId="0" borderId="0" xfId="0" applyFont="1" applyFill="1" applyAlignment="1"/>
    <xf numFmtId="181" fontId="15" fillId="3" borderId="26" xfId="50" applyNumberFormat="1" applyFont="1" applyFill="1" applyBorder="1" applyAlignment="1">
      <alignment horizontal="left" vertical="center"/>
    </xf>
    <xf numFmtId="0" fontId="1" fillId="3" borderId="27" xfId="49" applyFont="1" applyFill="1" applyBorder="1" applyAlignment="1">
      <alignment horizontal="center" vertical="center"/>
    </xf>
    <xf numFmtId="0" fontId="1" fillId="3" borderId="28" xfId="49" applyFont="1" applyFill="1" applyBorder="1" applyAlignment="1">
      <alignment horizontal="center" vertical="center"/>
    </xf>
    <xf numFmtId="0" fontId="1" fillId="3" borderId="29" xfId="49" applyFont="1" applyFill="1" applyBorder="1" applyAlignment="1">
      <alignment horizontal="center"/>
    </xf>
    <xf numFmtId="0" fontId="1" fillId="3" borderId="30" xfId="49" applyFont="1" applyFill="1" applyBorder="1" applyAlignment="1">
      <alignment horizontal="center"/>
    </xf>
    <xf numFmtId="0" fontId="16" fillId="5" borderId="31" xfId="0" applyFont="1" applyFill="1" applyBorder="1" applyAlignment="1">
      <alignment horizontal="center" vertical="center" wrapText="1"/>
    </xf>
    <xf numFmtId="0" fontId="16" fillId="5" borderId="32" xfId="0" applyFont="1" applyFill="1" applyBorder="1" applyAlignment="1">
      <alignment horizontal="center" vertical="center" wrapText="1"/>
    </xf>
    <xf numFmtId="37" fontId="16" fillId="5" borderId="32" xfId="0" applyNumberFormat="1" applyFont="1" applyFill="1" applyBorder="1" applyAlignment="1">
      <alignment horizontal="center" vertical="center" wrapText="1"/>
    </xf>
    <xf numFmtId="37" fontId="16" fillId="5" borderId="33" xfId="0" applyNumberFormat="1" applyFont="1" applyFill="1" applyBorder="1" applyAlignment="1">
      <alignment horizontal="center" vertical="center" wrapText="1"/>
    </xf>
    <xf numFmtId="181" fontId="15" fillId="3" borderId="34" xfId="50" applyNumberFormat="1" applyFont="1" applyFill="1" applyBorder="1" applyAlignment="1">
      <alignment horizontal="left" vertical="center"/>
    </xf>
    <xf numFmtId="0" fontId="1" fillId="3" borderId="35" xfId="49" applyFont="1" applyFill="1" applyBorder="1" applyAlignment="1">
      <alignment horizontal="center" vertical="center"/>
    </xf>
    <xf numFmtId="0" fontId="1" fillId="3" borderId="36" xfId="49" applyFont="1" applyFill="1" applyBorder="1" applyAlignment="1">
      <alignment horizontal="center" vertical="center"/>
    </xf>
    <xf numFmtId="0" fontId="1" fillId="3" borderId="37" xfId="49" applyFont="1" applyFill="1" applyBorder="1" applyAlignment="1">
      <alignment horizontal="center" vertical="center"/>
    </xf>
    <xf numFmtId="0" fontId="1" fillId="3" borderId="38" xfId="49" applyFont="1" applyFill="1" applyBorder="1" applyAlignment="1">
      <alignment horizontal="center" vertical="center"/>
    </xf>
    <xf numFmtId="0" fontId="1" fillId="3" borderId="39" xfId="49" applyFont="1" applyFill="1" applyBorder="1" applyAlignment="1">
      <alignment horizontal="center" vertical="center"/>
    </xf>
    <xf numFmtId="0" fontId="17" fillId="5" borderId="40" xfId="0" applyFont="1" applyFill="1" applyBorder="1" applyAlignment="1"/>
    <xf numFmtId="0" fontId="17" fillId="5" borderId="9" xfId="0" applyFont="1" applyFill="1" applyBorder="1" applyAlignment="1">
      <alignment horizontal="center"/>
    </xf>
    <xf numFmtId="0" fontId="17" fillId="5" borderId="9" xfId="0" applyFont="1" applyFill="1" applyBorder="1" applyAlignment="1"/>
    <xf numFmtId="0" fontId="17" fillId="5" borderId="9" xfId="0" applyFont="1" applyFill="1" applyBorder="1" applyAlignment="1">
      <alignment horizontal="center" vertical="center"/>
    </xf>
    <xf numFmtId="37" fontId="16" fillId="5" borderId="9" xfId="0" applyNumberFormat="1" applyFont="1" applyFill="1" applyBorder="1" applyAlignment="1">
      <alignment horizontal="center" vertical="center" wrapText="1"/>
    </xf>
    <xf numFmtId="0" fontId="17" fillId="5" borderId="41" xfId="0" applyFont="1" applyFill="1" applyBorder="1" applyAlignment="1">
      <alignment horizontal="center" vertical="center"/>
    </xf>
    <xf numFmtId="181" fontId="15" fillId="2" borderId="42" xfId="50" applyNumberFormat="1" applyFont="1" applyFill="1" applyBorder="1" applyAlignment="1">
      <alignment horizontal="left" vertical="center" wrapText="1"/>
    </xf>
    <xf numFmtId="0" fontId="1" fillId="2" borderId="42" xfId="49" applyFont="1" applyFill="1" applyBorder="1" applyAlignment="1">
      <alignment horizontal="center" vertical="center"/>
    </xf>
    <xf numFmtId="43" fontId="18" fillId="2" borderId="43" xfId="51" applyNumberFormat="1" applyFont="1" applyFill="1" applyBorder="1" applyAlignment="1" applyProtection="1">
      <alignment horizontal="center" vertical="center" wrapText="1"/>
    </xf>
    <xf numFmtId="181" fontId="1" fillId="2" borderId="9" xfId="51" applyNumberFormat="1" applyFont="1" applyFill="1" applyBorder="1" applyAlignment="1">
      <alignment horizontal="center" vertical="center"/>
    </xf>
    <xf numFmtId="180" fontId="1" fillId="2" borderId="9" xfId="51" applyFont="1" applyFill="1" applyBorder="1" applyAlignment="1">
      <alignment horizontal="center" vertical="center"/>
    </xf>
    <xf numFmtId="0" fontId="19" fillId="0" borderId="40" xfId="0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left" vertical="center" wrapText="1"/>
    </xf>
    <xf numFmtId="0" fontId="20" fillId="2" borderId="9" xfId="0" applyFont="1" applyFill="1" applyBorder="1" applyAlignment="1">
      <alignment horizontal="center" vertical="center" wrapText="1"/>
    </xf>
    <xf numFmtId="0" fontId="20" fillId="0" borderId="9" xfId="0" applyFont="1" applyFill="1" applyBorder="1" applyAlignment="1">
      <alignment horizontal="center" vertical="center"/>
    </xf>
    <xf numFmtId="0" fontId="19" fillId="0" borderId="9" xfId="0" applyFont="1" applyFill="1" applyBorder="1" applyAlignment="1">
      <alignment horizontal="center" vertical="center"/>
    </xf>
    <xf numFmtId="182" fontId="19" fillId="2" borderId="9" xfId="1" applyNumberFormat="1" applyFont="1" applyFill="1" applyBorder="1" applyAlignment="1">
      <alignment vertical="center" wrapText="1"/>
    </xf>
    <xf numFmtId="37" fontId="20" fillId="2" borderId="9" xfId="0" applyNumberFormat="1" applyFont="1" applyFill="1" applyBorder="1" applyAlignment="1">
      <alignment horizontal="center" vertical="center"/>
    </xf>
    <xf numFmtId="0" fontId="11" fillId="2" borderId="41" xfId="0" applyFont="1" applyFill="1" applyBorder="1" applyAlignment="1">
      <alignment horizontal="center" vertical="center" wrapText="1"/>
    </xf>
    <xf numFmtId="181" fontId="15" fillId="2" borderId="9" xfId="50" applyNumberFormat="1" applyFont="1" applyFill="1" applyBorder="1" applyAlignment="1">
      <alignment horizontal="left" vertical="center" wrapText="1"/>
    </xf>
    <xf numFmtId="0" fontId="1" fillId="0" borderId="9" xfId="0" applyFont="1" applyFill="1" applyBorder="1" applyAlignment="1">
      <alignment horizontal="center" vertical="center"/>
    </xf>
    <xf numFmtId="183" fontId="1" fillId="0" borderId="9" xfId="0" applyNumberFormat="1" applyFont="1" applyFill="1" applyBorder="1" applyAlignment="1"/>
    <xf numFmtId="2" fontId="1" fillId="0" borderId="9" xfId="0" applyNumberFormat="1" applyFont="1" applyFill="1" applyBorder="1" applyAlignment="1"/>
    <xf numFmtId="0" fontId="1" fillId="2" borderId="9" xfId="49" applyFont="1" applyFill="1" applyBorder="1" applyAlignment="1">
      <alignment horizontal="center" vertical="center"/>
    </xf>
    <xf numFmtId="0" fontId="21" fillId="5" borderId="40" xfId="52" applyFont="1" applyFill="1" applyBorder="1" applyAlignment="1">
      <alignment horizontal="center" vertical="center" wrapText="1"/>
    </xf>
    <xf numFmtId="0" fontId="21" fillId="5" borderId="9" xfId="52" applyFont="1" applyFill="1" applyBorder="1" applyAlignment="1">
      <alignment horizontal="center" vertical="center" wrapText="1"/>
    </xf>
    <xf numFmtId="184" fontId="21" fillId="5" borderId="9" xfId="1" applyNumberFormat="1" applyFont="1" applyFill="1" applyBorder="1" applyAlignment="1">
      <alignment horizontal="right" vertical="center"/>
    </xf>
    <xf numFmtId="184" fontId="21" fillId="5" borderId="41" xfId="1" applyNumberFormat="1" applyFont="1" applyFill="1" applyBorder="1" applyAlignment="1">
      <alignment horizontal="right" vertical="center"/>
    </xf>
    <xf numFmtId="0" fontId="21" fillId="5" borderId="9" xfId="52" applyFont="1" applyFill="1" applyBorder="1" applyAlignment="1">
      <alignment horizontal="center" vertical="center"/>
    </xf>
    <xf numFmtId="0" fontId="21" fillId="5" borderId="44" xfId="52" applyFont="1" applyFill="1" applyBorder="1" applyAlignment="1">
      <alignment horizontal="center" vertical="center" wrapText="1"/>
    </xf>
    <xf numFmtId="0" fontId="21" fillId="5" borderId="9" xfId="52" applyFont="1" applyFill="1" applyBorder="1" applyAlignment="1">
      <alignment vertical="center"/>
    </xf>
    <xf numFmtId="0" fontId="21" fillId="5" borderId="43" xfId="52" applyFont="1" applyFill="1" applyBorder="1" applyAlignment="1">
      <alignment horizontal="center" vertical="center"/>
    </xf>
    <xf numFmtId="184" fontId="21" fillId="5" borderId="43" xfId="1" applyNumberFormat="1" applyFont="1" applyFill="1" applyBorder="1" applyAlignment="1">
      <alignment horizontal="right" vertical="center"/>
    </xf>
    <xf numFmtId="184" fontId="21" fillId="5" borderId="45" xfId="1" applyNumberFormat="1" applyFont="1" applyFill="1" applyBorder="1" applyAlignment="1">
      <alignment horizontal="right" vertical="center"/>
    </xf>
    <xf numFmtId="0" fontId="21" fillId="5" borderId="46" xfId="52" applyFont="1" applyFill="1" applyBorder="1" applyAlignment="1">
      <alignment horizontal="center" vertical="center"/>
    </xf>
    <xf numFmtId="0" fontId="21" fillId="5" borderId="47" xfId="52" applyFont="1" applyFill="1" applyBorder="1" applyAlignment="1">
      <alignment horizontal="center" vertical="center"/>
    </xf>
    <xf numFmtId="0" fontId="21" fillId="5" borderId="48" xfId="52" applyFont="1" applyFill="1" applyBorder="1" applyAlignment="1">
      <alignment horizontal="center" vertical="center"/>
    </xf>
    <xf numFmtId="0" fontId="21" fillId="5" borderId="49" xfId="52" applyFont="1" applyFill="1" applyBorder="1" applyAlignment="1">
      <alignment horizontal="center" vertical="center" wrapText="1"/>
    </xf>
    <xf numFmtId="0" fontId="21" fillId="5" borderId="50" xfId="52" applyFont="1" applyFill="1" applyBorder="1" applyAlignment="1">
      <alignment horizontal="center" vertical="center"/>
    </xf>
    <xf numFmtId="184" fontId="21" fillId="5" borderId="50" xfId="1" applyNumberFormat="1" applyFont="1" applyFill="1" applyBorder="1" applyAlignment="1">
      <alignment horizontal="right" vertical="center"/>
    </xf>
    <xf numFmtId="184" fontId="21" fillId="5" borderId="51" xfId="1" applyNumberFormat="1" applyFont="1" applyFill="1" applyBorder="1" applyAlignment="1">
      <alignment horizontal="right" vertical="center"/>
    </xf>
    <xf numFmtId="0" fontId="22" fillId="0" borderId="0" xfId="0" applyFont="1" applyFill="1" applyAlignment="1"/>
    <xf numFmtId="0" fontId="23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/>
    </xf>
    <xf numFmtId="0" fontId="4" fillId="0" borderId="0" xfId="53" applyFont="1" applyAlignment="1">
      <alignment horizontal="left"/>
    </xf>
    <xf numFmtId="0" fontId="4" fillId="0" borderId="0" xfId="53" applyFont="1" applyAlignment="1">
      <alignment horizontal="center"/>
    </xf>
    <xf numFmtId="185" fontId="4" fillId="0" borderId="0" xfId="1" applyNumberFormat="1" applyFont="1" applyFill="1" applyAlignment="1">
      <alignment horizontal="center"/>
    </xf>
    <xf numFmtId="181" fontId="4" fillId="0" borderId="0" xfId="53" applyNumberFormat="1" applyFont="1" applyAlignment="1">
      <alignment horizontal="center"/>
    </xf>
    <xf numFmtId="0" fontId="4" fillId="0" borderId="0" xfId="53" applyFont="1" applyAlignment="1">
      <alignment horizontal="center" vertical="center"/>
    </xf>
    <xf numFmtId="0" fontId="24" fillId="0" borderId="0" xfId="53" applyFont="1" applyAlignment="1">
      <alignment horizontal="left"/>
    </xf>
    <xf numFmtId="0" fontId="24" fillId="0" borderId="0" xfId="53" applyFont="1" applyAlignment="1">
      <alignment horizontal="center" vertical="center"/>
    </xf>
    <xf numFmtId="0" fontId="8" fillId="0" borderId="0" xfId="53" applyFont="1"/>
    <xf numFmtId="0" fontId="8" fillId="0" borderId="0" xfId="53" applyFont="1" applyAlignment="1">
      <alignment horizontal="center"/>
    </xf>
    <xf numFmtId="0" fontId="8" fillId="0" borderId="0" xfId="53" applyFont="1" applyAlignment="1">
      <alignment horizontal="left"/>
    </xf>
    <xf numFmtId="0" fontId="8" fillId="0" borderId="0" xfId="53" applyFont="1" applyAlignment="1">
      <alignment horizontal="center" vertical="center"/>
    </xf>
    <xf numFmtId="0" fontId="12" fillId="0" borderId="0" xfId="53" applyFont="1"/>
    <xf numFmtId="0" fontId="12" fillId="0" borderId="0" xfId="53" applyFont="1" applyAlignment="1">
      <alignment horizontal="center"/>
    </xf>
    <xf numFmtId="0" fontId="8" fillId="0" borderId="0" xfId="0" applyFont="1" applyFill="1" applyAlignment="1">
      <alignment horizontal="center" vertical="center"/>
    </xf>
    <xf numFmtId="0" fontId="25" fillId="0" borderId="0" xfId="53" applyFont="1" applyAlignment="1">
      <alignment horizontal="center"/>
    </xf>
    <xf numFmtId="0" fontId="25" fillId="0" borderId="0" xfId="53" applyFont="1" applyAlignment="1">
      <alignment horizontal="center" vertical="center"/>
    </xf>
    <xf numFmtId="0" fontId="8" fillId="0" borderId="0" xfId="0" applyFont="1" applyFill="1" applyAlignment="1">
      <alignment horizontal="left"/>
    </xf>
    <xf numFmtId="0" fontId="8" fillId="0" borderId="0" xfId="0" applyFont="1" applyFill="1" applyAlignment="1"/>
    <xf numFmtId="0" fontId="8" fillId="0" borderId="0" xfId="0" applyFont="1" applyFill="1" applyAlignment="1">
      <alignment horizontal="center"/>
    </xf>
    <xf numFmtId="0" fontId="20" fillId="2" borderId="9" xfId="0" applyFont="1" applyFill="1" applyBorder="1" applyAlignment="1" quotePrefix="1">
      <alignment horizontal="center" vertical="center" wrapText="1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3" xfId="49"/>
    <cellStyle name="Comma 16 3" xfId="50"/>
    <cellStyle name="Comma 3" xfId="51"/>
    <cellStyle name="Normal 5" xfId="52"/>
    <cellStyle name="Normal 2 3 2" xfId="53"/>
  </cellStyles>
  <dxfs count="18">
    <dxf>
      <font>
        <color theme="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322489</xdr:colOff>
      <xdr:row>0</xdr:row>
      <xdr:rowOff>108857</xdr:rowOff>
    </xdr:from>
    <xdr:to>
      <xdr:col>8</xdr:col>
      <xdr:colOff>1170214</xdr:colOff>
      <xdr:row>5</xdr:row>
      <xdr:rowOff>194582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1945" y="108585"/>
          <a:ext cx="13801725" cy="1085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3"/>
  <sheetViews>
    <sheetView tabSelected="1" zoomScale="85" zoomScaleNormal="85" workbookViewId="0">
      <selection activeCell="B69" sqref="B69"/>
    </sheetView>
  </sheetViews>
  <sheetFormatPr defaultColWidth="12.5555555555556" defaultRowHeight="15" customHeight="1"/>
  <cols>
    <col min="1" max="1" width="6.33333333333333" style="3" customWidth="1"/>
    <col min="2" max="2" width="66" style="3" customWidth="1"/>
    <col min="3" max="3" width="42.4444444444444" style="3" customWidth="1"/>
    <col min="4" max="4" width="20" style="3" customWidth="1"/>
    <col min="5" max="5" width="8.66666666666667" style="3" customWidth="1"/>
    <col min="6" max="6" width="13.4444444444444" style="4" customWidth="1"/>
    <col min="7" max="7" width="14.5555555555556" style="5" customWidth="1"/>
    <col min="8" max="8" width="17.4444444444444" style="5" customWidth="1"/>
    <col min="9" max="9" width="25.8888888888889" style="6" customWidth="1"/>
    <col min="10" max="10" width="11.6666666666667" style="3" customWidth="1"/>
    <col min="11" max="11" width="19.1111111111111" style="3" customWidth="1"/>
    <col min="12" max="12" width="14.6666666666667" style="3" customWidth="1"/>
    <col min="13" max="21" width="12.5555555555556" style="3"/>
    <col min="22" max="22" width="16.3333333333333" style="3" customWidth="1"/>
    <col min="23" max="16384" width="12.5555555555556" style="3"/>
  </cols>
  <sheetData>
    <row r="1" ht="16.35" spans="1:24">
      <c r="A1" s="7"/>
      <c r="B1" s="8"/>
      <c r="C1" s="9"/>
      <c r="D1" s="8"/>
      <c r="E1" s="10"/>
      <c r="F1" s="11"/>
      <c r="G1" s="11"/>
      <c r="H1" s="11"/>
      <c r="I1" s="12"/>
    </row>
    <row r="2" ht="15.6" spans="1:24">
      <c r="A2" s="13"/>
      <c r="B2" s="14"/>
      <c r="C2" s="15"/>
      <c r="D2" s="14"/>
      <c r="E2" s="16"/>
      <c r="F2" s="17"/>
      <c r="G2" s="17"/>
      <c r="H2" s="17"/>
      <c r="I2" s="18"/>
    </row>
    <row r="3" ht="15.6" spans="1:24">
      <c r="A3" s="13"/>
      <c r="B3" s="14"/>
      <c r="C3" s="15"/>
      <c r="D3" s="14"/>
      <c r="E3" s="16"/>
      <c r="F3" s="17"/>
      <c r="G3" s="17"/>
      <c r="H3" s="17"/>
      <c r="I3" s="18"/>
    </row>
    <row r="4" ht="15.6" spans="1:24">
      <c r="A4" s="13"/>
      <c r="B4" s="14"/>
      <c r="C4" s="15"/>
      <c r="D4" s="14"/>
      <c r="E4" s="16"/>
      <c r="F4" s="17"/>
      <c r="G4" s="17"/>
      <c r="H4" s="17"/>
      <c r="I4" s="18"/>
    </row>
    <row r="5" ht="15.6" spans="1:24">
      <c r="A5" s="13"/>
      <c r="B5" s="14"/>
      <c r="C5" s="15"/>
      <c r="D5" s="14"/>
      <c r="E5" s="16"/>
      <c r="F5" s="17"/>
      <c r="G5" s="17"/>
      <c r="H5" s="17"/>
      <c r="I5" s="18"/>
    </row>
    <row r="6" ht="15.6" spans="1:24">
      <c r="A6" s="13"/>
      <c r="B6" s="14"/>
      <c r="C6" s="15"/>
      <c r="D6" s="14"/>
      <c r="E6" s="16"/>
      <c r="F6" s="17"/>
      <c r="G6" s="17"/>
      <c r="H6" s="17"/>
      <c r="I6" s="18"/>
    </row>
    <row r="7" ht="9" customHeight="1" spans="1:24">
      <c r="A7" s="13"/>
      <c r="B7" s="14" t="s">
        <v>0</v>
      </c>
      <c r="C7" s="15"/>
      <c r="D7" s="14"/>
      <c r="E7" s="16"/>
      <c r="F7" s="17"/>
      <c r="G7" s="17"/>
      <c r="H7" s="17"/>
      <c r="I7" s="18"/>
    </row>
    <row r="8" ht="31.5" customHeight="1" spans="1:24">
      <c r="A8" s="19" t="s">
        <v>1</v>
      </c>
      <c r="B8" s="20"/>
      <c r="C8" s="20"/>
      <c r="D8" s="20"/>
      <c r="E8" s="20"/>
      <c r="F8" s="20"/>
      <c r="G8" s="20"/>
      <c r="H8" s="20"/>
      <c r="I8" s="21"/>
    </row>
    <row r="9" s="1" customFormat="1" ht="15.6" spans="1:24">
      <c r="A9" s="22" t="s">
        <v>2</v>
      </c>
      <c r="B9" s="23"/>
      <c r="C9" s="24"/>
      <c r="D9" s="24"/>
      <c r="E9" s="24"/>
      <c r="F9" s="24"/>
      <c r="G9" s="24"/>
      <c r="H9" s="24"/>
      <c r="I9" s="25"/>
      <c r="J9" s="26"/>
      <c r="K9" s="27"/>
      <c r="L9" s="28" t="s">
        <v>3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="1" customFormat="1" ht="15.6" spans="1:24">
      <c r="A10" s="29" t="s">
        <v>4</v>
      </c>
      <c r="B10" s="30"/>
      <c r="C10" s="31"/>
      <c r="D10" s="32"/>
      <c r="E10" s="32"/>
      <c r="F10" s="32"/>
      <c r="G10" s="32"/>
      <c r="H10" s="32"/>
      <c r="I10" s="33"/>
      <c r="J10" s="26"/>
      <c r="K10" s="27" t="s">
        <v>5</v>
      </c>
      <c r="L10" s="34" t="s">
        <v>6</v>
      </c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="1" customFormat="1" ht="15.6" spans="1:24">
      <c r="A11" s="29" t="s">
        <v>7</v>
      </c>
      <c r="B11" s="30"/>
      <c r="C11" s="35"/>
      <c r="D11" s="36"/>
      <c r="E11" s="36"/>
      <c r="F11" s="36"/>
      <c r="G11" s="37"/>
      <c r="H11" s="38" t="s">
        <v>8</v>
      </c>
      <c r="I11" s="39"/>
      <c r="J11" s="26"/>
      <c r="K11" s="34" t="s">
        <v>9</v>
      </c>
      <c r="L11" s="34" t="s">
        <v>10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="1" customFormat="1" ht="15.6" spans="1:24">
      <c r="A12" s="29" t="s">
        <v>11</v>
      </c>
      <c r="B12" s="30"/>
      <c r="C12" s="35"/>
      <c r="D12" s="36"/>
      <c r="E12" s="36"/>
      <c r="F12" s="36"/>
      <c r="G12" s="37"/>
      <c r="H12" s="38" t="s">
        <v>12</v>
      </c>
      <c r="I12" s="40"/>
      <c r="J12" s="26"/>
      <c r="K12" s="34" t="s">
        <v>13</v>
      </c>
      <c r="L12" s="34" t="s">
        <v>14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="1" customFormat="1" ht="16.8" spans="1:24">
      <c r="A13" s="41" t="s">
        <v>15</v>
      </c>
      <c r="B13" s="42"/>
      <c r="C13" s="43" t="s">
        <v>16</v>
      </c>
      <c r="D13" s="44"/>
      <c r="E13" s="44"/>
      <c r="F13" s="44"/>
      <c r="G13" s="45"/>
      <c r="H13" s="46" t="s">
        <v>17</v>
      </c>
      <c r="I13" s="47"/>
      <c r="K13" s="34" t="s">
        <v>18</v>
      </c>
      <c r="L13" s="34" t="s">
        <v>19</v>
      </c>
    </row>
    <row r="14" s="1" customFormat="1" ht="16.8" spans="1:24">
      <c r="A14" s="29" t="s">
        <v>20</v>
      </c>
      <c r="B14" s="30"/>
      <c r="C14" s="48" t="s">
        <v>21</v>
      </c>
      <c r="D14" s="49"/>
      <c r="E14" s="49"/>
      <c r="F14" s="49"/>
      <c r="G14" s="50"/>
      <c r="H14" s="46" t="s">
        <v>22</v>
      </c>
      <c r="I14" s="47"/>
      <c r="K14" s="34" t="s">
        <v>23</v>
      </c>
      <c r="L14" s="34" t="s">
        <v>24</v>
      </c>
    </row>
    <row r="15" s="1" customFormat="1" ht="16.8" spans="1:24">
      <c r="A15" s="29" t="s">
        <v>11</v>
      </c>
      <c r="B15" s="30"/>
      <c r="C15" s="48" t="s">
        <v>25</v>
      </c>
      <c r="D15" s="49"/>
      <c r="E15" s="49"/>
      <c r="F15" s="49"/>
      <c r="G15" s="50"/>
      <c r="H15" s="46" t="s">
        <v>26</v>
      </c>
      <c r="I15" s="47"/>
      <c r="K15" s="34" t="s">
        <v>27</v>
      </c>
      <c r="L15" s="34" t="s">
        <v>28</v>
      </c>
    </row>
    <row r="16" s="1" customFormat="1" ht="15.6" spans="1:24">
      <c r="A16" s="29" t="s">
        <v>29</v>
      </c>
      <c r="B16" s="30"/>
      <c r="C16" s="48" t="s">
        <v>30</v>
      </c>
      <c r="D16" s="49"/>
      <c r="E16" s="49"/>
      <c r="F16" s="49"/>
      <c r="G16" s="50"/>
      <c r="H16" s="51" t="s">
        <v>31</v>
      </c>
      <c r="I16" s="52" t="s">
        <v>32</v>
      </c>
      <c r="K16" s="34" t="s">
        <v>33</v>
      </c>
      <c r="L16" s="34" t="s">
        <v>34</v>
      </c>
    </row>
    <row r="17" s="1" customFormat="1" ht="15.6" spans="1:24">
      <c r="A17" s="53" t="s">
        <v>35</v>
      </c>
      <c r="B17" s="54"/>
      <c r="C17" s="55" t="s">
        <v>36</v>
      </c>
      <c r="D17" s="56"/>
      <c r="E17" s="56"/>
      <c r="F17" s="56"/>
      <c r="G17" s="57"/>
      <c r="H17" s="58" t="s">
        <v>37</v>
      </c>
      <c r="I17" s="59" t="s">
        <v>38</v>
      </c>
      <c r="K17" s="34" t="s">
        <v>39</v>
      </c>
      <c r="L17" s="34" t="s">
        <v>40</v>
      </c>
      <c r="X17" s="60"/>
    </row>
    <row r="18" s="1" customFormat="1" ht="15.6" spans="1:24">
      <c r="A18" s="61" t="s">
        <v>41</v>
      </c>
      <c r="B18" s="62"/>
      <c r="C18" s="62"/>
      <c r="D18" s="62"/>
      <c r="E18" s="62"/>
      <c r="F18" s="62"/>
      <c r="G18" s="62"/>
      <c r="H18" s="62"/>
      <c r="I18" s="63"/>
      <c r="K18" s="34"/>
      <c r="L18" s="34"/>
      <c r="X18" s="60"/>
    </row>
    <row r="19" s="1" customFormat="1" ht="15.75" customHeight="1" spans="1:24">
      <c r="A19" s="64" t="s">
        <v>42</v>
      </c>
      <c r="B19" s="65"/>
      <c r="C19" s="65"/>
      <c r="D19" s="65"/>
      <c r="E19" s="65"/>
      <c r="F19" s="65"/>
      <c r="G19" s="65"/>
      <c r="H19" s="65"/>
      <c r="I19" s="66"/>
      <c r="X19" s="67"/>
    </row>
    <row r="20" ht="18.9" spans="1:24">
      <c r="A20" s="68"/>
      <c r="B20" s="69"/>
      <c r="C20" s="69"/>
      <c r="D20" s="69"/>
      <c r="E20" s="69"/>
      <c r="F20" s="69"/>
      <c r="G20" s="69"/>
      <c r="H20" s="69"/>
      <c r="K20" s="70" t="s">
        <v>43</v>
      </c>
      <c r="L20" s="71" t="s">
        <v>44</v>
      </c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3" t="s">
        <v>45</v>
      </c>
      <c r="X20" s="74"/>
    </row>
    <row r="21" ht="18.3" spans="1:24">
      <c r="A21" s="75" t="s">
        <v>46</v>
      </c>
      <c r="B21" s="76" t="s">
        <v>43</v>
      </c>
      <c r="C21" s="76" t="s">
        <v>47</v>
      </c>
      <c r="D21" s="76" t="s">
        <v>48</v>
      </c>
      <c r="E21" s="76" t="s">
        <v>49</v>
      </c>
      <c r="F21" s="77" t="s">
        <v>50</v>
      </c>
      <c r="G21" s="77" t="s">
        <v>51</v>
      </c>
      <c r="H21" s="77" t="s">
        <v>52</v>
      </c>
      <c r="I21" s="78" t="s">
        <v>53</v>
      </c>
      <c r="K21" s="79"/>
      <c r="L21" s="80" t="s">
        <v>3</v>
      </c>
      <c r="M21" s="81" t="s">
        <v>54</v>
      </c>
      <c r="N21" s="81" t="s">
        <v>55</v>
      </c>
      <c r="O21" s="81" t="s">
        <v>56</v>
      </c>
      <c r="P21" s="81" t="s">
        <v>57</v>
      </c>
      <c r="Q21" s="81" t="s">
        <v>58</v>
      </c>
      <c r="R21" s="81" t="s">
        <v>59</v>
      </c>
      <c r="S21" s="81" t="s">
        <v>60</v>
      </c>
      <c r="T21" s="81" t="s">
        <v>61</v>
      </c>
      <c r="U21" s="81" t="s">
        <v>62</v>
      </c>
      <c r="V21" s="82" t="s">
        <v>63</v>
      </c>
      <c r="W21" s="83" t="s">
        <v>64</v>
      </c>
      <c r="X21" s="84" t="s">
        <v>65</v>
      </c>
    </row>
    <row r="22" ht="16.8" spans="1:24">
      <c r="A22" s="85"/>
      <c r="B22" s="86"/>
      <c r="C22" s="87"/>
      <c r="D22" s="87"/>
      <c r="E22" s="87"/>
      <c r="F22" s="88"/>
      <c r="G22" s="89" t="s">
        <v>66</v>
      </c>
      <c r="H22" s="89" t="s">
        <v>67</v>
      </c>
      <c r="I22" s="90"/>
      <c r="K22" s="91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3">
        <f>(IF(OR(L22="t",L22="TA",),(M22+N22)*2/1000*S22/1000,(IF(OR(L22="F",L22="M"),(M22*N22),IF(L22="d",(M22+N22+U22/1/2)*2*S22,IF(L22="tb",((M22+N22)*2*S22+M22*N22),IF(OR(L22="g",L22="n"),((M22+O22)*SQRT((S22)^2+((N22-P22)/2)^2)+(N22+P22)*SQRT((S22)^2+((M22-O22)/2)^2)),IF(LEFT(L22,1)="c",(2*(PI()*((M22+T22)^2-T22^2)+N22*(PI()*(M22+T22)+PI()*T22))*(U22/360)),IF(LEFT(L22,2)="vt",((M22+O22)*SQRT((S22)^2+((N22-P22)/2)^2)+(N22+P22)*SQRT((S22)^2+((M22-O22)/2)^2)+((T22+200)^2-(T22/2)^2*3.14)),IF(L22="tt",(2*(M22+N22)*(S22-1.5*O22)+(PI()*(3*O22+2/3*M22)*(O22+2/3*M22+P22+N22)-(P22+N22)*(PI()*1.5*O22))/8+(PI()*(3*Q22+2/3*M22)*(Q22+2/3*M22+R22+N22)-(R22+N22)*(PI()*1.5*Q22))/8),0))))))))/10^6))</f>
        <v>0</v>
      </c>
      <c r="W22" s="94"/>
      <c r="X22" s="95"/>
    </row>
    <row r="23" ht="39.9" customHeight="1" spans="1:24">
      <c r="A23" s="96">
        <v>1</v>
      </c>
      <c r="B23" s="97"/>
      <c r="C23" s="149" t="s">
        <v>68</v>
      </c>
      <c r="D23" s="99" t="s">
        <v>69</v>
      </c>
      <c r="E23" s="100"/>
      <c r="F23" s="101"/>
      <c r="G23" s="102"/>
      <c r="H23" s="102"/>
      <c r="I23" s="103"/>
      <c r="K23" s="104">
        <f>+B23</f>
        <v>0</v>
      </c>
      <c r="L23" s="105" t="s">
        <v>6</v>
      </c>
      <c r="M23" s="105"/>
      <c r="N23" s="105"/>
      <c r="O23" s="34"/>
      <c r="P23" s="34"/>
      <c r="Q23" s="106"/>
      <c r="R23" s="107"/>
      <c r="S23" s="108"/>
      <c r="T23" s="34"/>
      <c r="U23" s="34"/>
      <c r="V23" s="93">
        <f>(IF(OR(L23="t",L23="TA",),(M23+N23)*2/1000*S23/1000,(IF(OR(L23="F",L23="M"),(M23*N23),IF(L23="d",(M23+N23+U23/1/2)*2*S23,IF(L23="tb",((M23+N23)*2*S23+M23*N23),IF(OR(L23="g",L23="n"),((M23+O23)*SQRT((S23)^2+((N23-P23)/2)^2)+(N23+P23)*SQRT((S23)^2+((M23-O23)/2)^2)),IF(LEFT(L23,1)="c",(2*(PI()*((M23+T23)^2-T23^2)+N23*(PI()*(M23+T23)+PI()*T23))*(U23/360)),IF(LEFT(L23,2)="vt",((M23+O23)*SQRT((S23)^2+((N23-P23)/2)^2)+(N23+P23)*SQRT((S23)^2+((M23-O23)/2)^2)+((T23+200)^2-(T23/2)^2*3.14)),IF(L23="tt",(2*(M23+N23)*(S23-1.5*O23)+(PI()*(3*O23+2/3*M23)*(O23+2/3*M23+P23+N23)-(P23+N23)*(PI()*1.5*O23))/8+(PI()*(3*Q23+2/3*M23)*(Q23+2/3*M23+R23+N23)-(R23+N23)*(PI()*1.5*Q23))/8),0))))))))/10^6))</f>
        <v>0</v>
      </c>
      <c r="W23" s="94"/>
      <c r="X23" s="94"/>
    </row>
    <row r="24" ht="39.9" customHeight="1" spans="1:24">
      <c r="A24" s="96">
        <v>2</v>
      </c>
      <c r="B24" s="97"/>
      <c r="C24" s="98"/>
      <c r="D24" s="99"/>
      <c r="E24" s="100"/>
      <c r="F24" s="101"/>
      <c r="G24" s="102"/>
      <c r="H24" s="102"/>
      <c r="I24" s="103"/>
      <c r="K24" s="104">
        <f>+B24</f>
        <v>0</v>
      </c>
      <c r="L24" s="105"/>
      <c r="M24" s="105"/>
      <c r="N24" s="105"/>
      <c r="O24" s="34"/>
      <c r="P24" s="34"/>
      <c r="Q24" s="106"/>
      <c r="R24" s="107"/>
      <c r="S24" s="108"/>
      <c r="T24" s="34"/>
      <c r="U24" s="34"/>
      <c r="V24" s="93">
        <f>(IF(OR(L24="t",L24="TA",),(M24+N24)*2/1000*S24/1000,(IF(OR(L24="F",L24="M"),(M24*N24),IF(L24="d",(M24+N24+U24/1/2)*2*S24,IF(L24="tb",((M24+N24)*2*S24+M24*N24),IF(OR(L24="g",L24="n"),((M24+O24)*SQRT((S24)^2+((N24-P24)/2)^2)+(N24+P24)*SQRT((S24)^2+((M24-O24)/2)^2)),IF(LEFT(L24,1)="c",(2*(PI()*((M24+T24)^2-T24^2)+N24*(PI()*(M24+T24)+PI()*T24))*(U24/360)),IF(LEFT(L24,2)="vt",((M24+O24)*SQRT((S24)^2+((N24-P24)/2)^2)+(N24+P24)*SQRT((S24)^2+((M24-O24)/2)^2)+((T24+200)^2-(T24/2)^2*3.14)),IF(L24="tt",(2*(M24+N24)*(S24-1.5*O24)+(PI()*(3*O24+2/3*M24)*(O24+2/3*M24+P24+N24)-(P24+N24)*(PI()*1.5*O24))/8+(PI()*(3*Q24+2/3*M24)*(Q24+2/3*M24+R24+N24)-(R24+N24)*(PI()*1.5*Q24))/8),0))))))))/10^6))</f>
        <v>0</v>
      </c>
      <c r="W24" s="94"/>
      <c r="X24" s="94"/>
    </row>
    <row r="25" ht="39.9" customHeight="1" spans="1:24">
      <c r="A25" s="96">
        <v>3</v>
      </c>
      <c r="B25" s="97"/>
      <c r="C25" s="98"/>
      <c r="D25" s="99"/>
      <c r="E25" s="100"/>
      <c r="F25" s="101"/>
      <c r="G25" s="102"/>
      <c r="H25" s="102"/>
      <c r="I25" s="103"/>
      <c r="K25" s="104">
        <f>+B25</f>
        <v>0</v>
      </c>
      <c r="L25" s="105"/>
      <c r="M25" s="105"/>
      <c r="N25" s="105"/>
      <c r="O25" s="34"/>
      <c r="P25" s="34"/>
      <c r="Q25" s="106"/>
      <c r="R25" s="107"/>
      <c r="S25" s="108"/>
      <c r="T25" s="34"/>
      <c r="U25" s="34"/>
      <c r="V25" s="93">
        <f>(IF(OR(L25="t",L25="TA",),(M25+N25)*2/1000*S25/1000,(IF(OR(L25="F",L25="M"),(M25*N25),IF(L25="d",(M25+N25+U25/1/2)*2*S25,IF(L25="tb",((M25+N25)*2*S25+M25*N25),IF(OR(L25="g",L25="n"),((M25+O25)*SQRT((S25)^2+((N25-P25)/2)^2)+(N25+P25)*SQRT((S25)^2+((M25-O25)/2)^2)),IF(LEFT(L25,1)="c",(2*(PI()*((M25+T25)^2-T25^2)+N25*(PI()*(M25+T25)+PI()*T25))*(U25/360)),IF(LEFT(L25,2)="vt",((M25+O25)*SQRT((S25)^2+((N25-P25)/2)^2)+(N25+P25)*SQRT((S25)^2+((M25-O25)/2)^2)+((T25+200)^2-(T25/2)^2*3.14)),IF(L25="tt",(2*(M25+N25)*(S25-1.5*O25)+(PI()*(3*O25+2/3*M25)*(O25+2/3*M25+P25+N25)-(P25+N25)*(PI()*1.5*O25))/8+(PI()*(3*Q25+2/3*M25)*(Q25+2/3*M25+R25+N25)-(R25+N25)*(PI()*1.5*Q25))/8),0))))))))/10^6))</f>
        <v>0</v>
      </c>
      <c r="W25" s="94"/>
      <c r="X25" s="95"/>
    </row>
    <row r="26" ht="39.9" customHeight="1" spans="1:24">
      <c r="A26" s="96">
        <v>4</v>
      </c>
      <c r="B26" s="97"/>
      <c r="C26" s="98"/>
      <c r="D26" s="99"/>
      <c r="E26" s="100"/>
      <c r="F26" s="101"/>
      <c r="G26" s="102"/>
      <c r="H26" s="102"/>
      <c r="I26" s="103"/>
      <c r="K26" s="104">
        <f>+B26</f>
        <v>0</v>
      </c>
      <c r="L26" s="105"/>
      <c r="M26" s="105"/>
      <c r="N26" s="105"/>
      <c r="O26" s="34"/>
      <c r="P26" s="34"/>
      <c r="Q26" s="106"/>
      <c r="R26" s="107"/>
      <c r="S26" s="108"/>
      <c r="T26" s="34"/>
      <c r="U26" s="34"/>
      <c r="V26" s="93">
        <f>(IF(OR(L26="t",L26="TA",),(M26+N26)*2/1000*S26/1000,(IF(OR(L26="F",L26="M"),(M26*N26),IF(L26="d",(M26+N26+U26/1/2)*2*S26,IF(L26="tb",((M26+N26)*2*S26+M26*N26),IF(OR(L26="g",L26="n"),((M26+O26)*SQRT((S26)^2+((N26-P26)/2)^2)+(N26+P26)*SQRT((S26)^2+((M26-O26)/2)^2)),IF(LEFT(L26,1)="c",(2*(PI()*((M26+T26)^2-T26^2)+N26*(PI()*(M26+T26)+PI()*T26))*(U26/360)),IF(LEFT(L26,2)="vt",((M26+O26)*SQRT((S26)^2+((N26-P26)/2)^2)+(N26+P26)*SQRT((S26)^2+((M26-O26)/2)^2)+((T26+200)^2-(T26/2)^2*3.14)),IF(L26="tt",(2*(M26+N26)*(S26-1.5*O26)+(PI()*(3*O26+2/3*M26)*(O26+2/3*M26+P26+N26)-(P26+N26)*(PI()*1.5*O26))/8+(PI()*(3*Q26+2/3*M26)*(Q26+2/3*M26+R26+N26)-(R26+N26)*(PI()*1.5*Q26))/8),0))))))))/10^6))</f>
        <v>0</v>
      </c>
      <c r="W26" s="94"/>
      <c r="X26" s="95"/>
    </row>
    <row r="27" ht="39.9" customHeight="1" spans="1:24">
      <c r="A27" s="96">
        <v>5</v>
      </c>
      <c r="B27" s="97"/>
      <c r="C27" s="98"/>
      <c r="D27" s="99"/>
      <c r="E27" s="100"/>
      <c r="F27" s="101"/>
      <c r="G27" s="102"/>
      <c r="H27" s="102"/>
      <c r="I27" s="103"/>
      <c r="K27" s="104"/>
      <c r="L27" s="105"/>
      <c r="M27" s="105"/>
      <c r="N27" s="105"/>
      <c r="O27" s="34"/>
      <c r="P27" s="34"/>
      <c r="Q27" s="106"/>
      <c r="R27" s="107"/>
      <c r="S27" s="108"/>
      <c r="T27" s="34"/>
      <c r="U27" s="34"/>
      <c r="V27" s="93"/>
      <c r="W27" s="94"/>
      <c r="X27" s="95"/>
    </row>
    <row r="28" ht="39.9" customHeight="1" spans="1:24">
      <c r="A28" s="96"/>
      <c r="B28" s="97"/>
      <c r="C28" s="98"/>
      <c r="D28" s="99"/>
      <c r="E28" s="100"/>
      <c r="F28" s="101"/>
      <c r="G28" s="102"/>
      <c r="H28" s="102"/>
      <c r="I28" s="103"/>
      <c r="K28" s="104"/>
      <c r="L28" s="105"/>
      <c r="M28" s="105"/>
      <c r="N28" s="105"/>
      <c r="O28" s="34"/>
      <c r="P28" s="34"/>
      <c r="Q28" s="106"/>
      <c r="R28" s="107"/>
      <c r="S28" s="108"/>
      <c r="T28" s="34"/>
      <c r="U28" s="34"/>
      <c r="V28" s="93"/>
      <c r="W28" s="94"/>
      <c r="X28" s="95"/>
    </row>
    <row r="29" ht="39.9" customHeight="1" spans="1:24">
      <c r="A29" s="96"/>
      <c r="B29" s="97"/>
      <c r="C29" s="98"/>
      <c r="D29" s="99"/>
      <c r="E29" s="100"/>
      <c r="F29" s="101"/>
      <c r="G29" s="102"/>
      <c r="H29" s="102"/>
      <c r="I29" s="103"/>
      <c r="K29" s="104"/>
      <c r="L29" s="105"/>
      <c r="M29" s="105"/>
      <c r="N29" s="105"/>
      <c r="O29" s="34"/>
      <c r="P29" s="34"/>
      <c r="Q29" s="106"/>
      <c r="R29" s="107"/>
      <c r="S29" s="108"/>
      <c r="T29" s="34"/>
      <c r="U29" s="34"/>
      <c r="V29" s="93"/>
      <c r="W29" s="94"/>
      <c r="X29" s="95"/>
    </row>
    <row r="30" ht="39.9" customHeight="1" spans="1:24">
      <c r="A30" s="96"/>
      <c r="B30" s="97"/>
      <c r="C30" s="98"/>
      <c r="D30" s="99"/>
      <c r="E30" s="100"/>
      <c r="F30" s="101"/>
      <c r="G30" s="102"/>
      <c r="H30" s="102"/>
      <c r="I30" s="103"/>
      <c r="K30" s="104"/>
      <c r="L30" s="105"/>
      <c r="M30" s="105"/>
      <c r="N30" s="105"/>
      <c r="O30" s="34"/>
      <c r="P30" s="34"/>
      <c r="Q30" s="106"/>
      <c r="R30" s="107"/>
      <c r="S30" s="108"/>
      <c r="T30" s="34"/>
      <c r="U30" s="34"/>
      <c r="V30" s="93"/>
      <c r="W30" s="94"/>
      <c r="X30" s="95"/>
    </row>
    <row r="31" ht="39.9" customHeight="1" spans="1:24">
      <c r="A31" s="96"/>
      <c r="B31" s="97"/>
      <c r="C31" s="98"/>
      <c r="D31" s="99"/>
      <c r="E31" s="100"/>
      <c r="F31" s="101"/>
      <c r="G31" s="102"/>
      <c r="H31" s="102"/>
      <c r="I31" s="103"/>
      <c r="K31" s="104"/>
      <c r="L31" s="105"/>
      <c r="M31" s="105"/>
      <c r="N31" s="105"/>
      <c r="O31" s="34"/>
      <c r="P31" s="34"/>
      <c r="Q31" s="106"/>
      <c r="R31" s="107"/>
      <c r="S31" s="108"/>
      <c r="T31" s="34"/>
      <c r="U31" s="34"/>
      <c r="V31" s="93"/>
      <c r="W31" s="94"/>
      <c r="X31" s="95"/>
    </row>
    <row r="32" ht="39.9" customHeight="1" spans="1:24">
      <c r="A32" s="96"/>
      <c r="B32" s="97"/>
      <c r="C32" s="98"/>
      <c r="D32" s="99"/>
      <c r="E32" s="100"/>
      <c r="F32" s="101"/>
      <c r="G32" s="102"/>
      <c r="H32" s="102"/>
      <c r="I32" s="103"/>
      <c r="K32" s="104"/>
      <c r="L32" s="105"/>
      <c r="M32" s="105"/>
      <c r="N32" s="105"/>
      <c r="O32" s="34"/>
      <c r="P32" s="34"/>
      <c r="Q32" s="106"/>
      <c r="R32" s="107"/>
      <c r="S32" s="108"/>
      <c r="T32" s="34"/>
      <c r="U32" s="34"/>
      <c r="V32" s="93"/>
      <c r="W32" s="94"/>
      <c r="X32" s="95"/>
    </row>
    <row r="33" ht="39.9" customHeight="1" spans="1:24">
      <c r="A33" s="96"/>
      <c r="B33" s="97"/>
      <c r="C33" s="98"/>
      <c r="D33" s="99"/>
      <c r="E33" s="100"/>
      <c r="F33" s="101"/>
      <c r="G33" s="102"/>
      <c r="H33" s="102"/>
      <c r="I33" s="103"/>
      <c r="K33" s="104"/>
      <c r="L33" s="105"/>
      <c r="M33" s="105"/>
      <c r="N33" s="105"/>
      <c r="O33" s="34"/>
      <c r="P33" s="34"/>
      <c r="Q33" s="106"/>
      <c r="R33" s="107"/>
      <c r="S33" s="108"/>
      <c r="T33" s="34"/>
      <c r="U33" s="34"/>
      <c r="V33" s="93"/>
      <c r="W33" s="94"/>
      <c r="X33" s="95"/>
    </row>
    <row r="34" ht="39.9" customHeight="1" spans="1:24">
      <c r="A34" s="96"/>
      <c r="B34" s="97"/>
      <c r="C34" s="98"/>
      <c r="D34" s="99"/>
      <c r="E34" s="100"/>
      <c r="F34" s="101"/>
      <c r="G34" s="102"/>
      <c r="H34" s="102"/>
      <c r="I34" s="103"/>
      <c r="K34" s="104"/>
      <c r="L34" s="105"/>
      <c r="M34" s="105"/>
      <c r="N34" s="105"/>
      <c r="O34" s="34"/>
      <c r="P34" s="34"/>
      <c r="Q34" s="106"/>
      <c r="R34" s="107"/>
      <c r="S34" s="108"/>
      <c r="T34" s="34"/>
      <c r="U34" s="34"/>
      <c r="V34" s="93"/>
      <c r="W34" s="94"/>
      <c r="X34" s="95"/>
    </row>
    <row r="35" ht="39.9" customHeight="1" spans="1:24">
      <c r="A35" s="96"/>
      <c r="B35" s="97"/>
      <c r="C35" s="98"/>
      <c r="D35" s="99"/>
      <c r="E35" s="100"/>
      <c r="F35" s="101"/>
      <c r="G35" s="102"/>
      <c r="H35" s="102"/>
      <c r="I35" s="103"/>
      <c r="K35" s="104">
        <f>+B35</f>
        <v>0</v>
      </c>
      <c r="L35" s="105"/>
      <c r="M35" s="105"/>
      <c r="N35" s="105"/>
      <c r="O35" s="34"/>
      <c r="P35" s="34"/>
      <c r="Q35" s="106"/>
      <c r="R35" s="107"/>
      <c r="S35" s="108"/>
      <c r="T35" s="34"/>
      <c r="U35" s="34"/>
      <c r="V35" s="93">
        <f>(IF(OR(L35="t",L35="TA",),(M35+N35)*2/1000*S35/1000,(IF(OR(L35="F",L35="M"),(M35*N35),IF(L35="d",(M35+N35+U35/1/2)*2*S35,IF(L35="tb",((M35+N35)*2*S35+M35*N35),IF(OR(L35="g",L35="n"),((M35+O35)*SQRT((S35)^2+((N35-P35)/2)^2)+(N35+P35)*SQRT((S35)^2+((M35-O35)/2)^2)),IF(LEFT(L35,1)="c",(2*(PI()*((M35+T35)^2-T35^2)+N35*(PI()*(M35+T35)+PI()*T35))*(U35/360)),IF(LEFT(L35,2)="vt",((M35+O35)*SQRT((S35)^2+((N35-P35)/2)^2)+(N35+P35)*SQRT((S35)^2+((M35-O35)/2)^2)+((T35+200)^2-(T35/2)^2*3.14)),IF(L35="tt",(2*(M35+N35)*(S35-1.5*O35)+(PI()*(3*O35+2/3*M35)*(O35+2/3*M35+P35+N35)-(P35+N35)*(PI()*1.5*O35))/8+(PI()*(3*Q35+2/3*M35)*(Q35+2/3*M35+R35+N35)-(R35+N35)*(PI()*1.5*Q35))/8),0))))))))/10^6))</f>
        <v>0</v>
      </c>
      <c r="W35" s="94"/>
      <c r="X35" s="95"/>
    </row>
    <row r="36" ht="39.9" customHeight="1" spans="1:24">
      <c r="A36" s="96"/>
      <c r="B36" s="97"/>
      <c r="C36" s="98"/>
      <c r="D36" s="99"/>
      <c r="E36" s="100"/>
      <c r="F36" s="101"/>
      <c r="G36" s="102"/>
      <c r="H36" s="102"/>
      <c r="I36" s="103"/>
      <c r="K36" s="104">
        <f>+B36</f>
        <v>0</v>
      </c>
      <c r="L36" s="105"/>
      <c r="M36" s="105"/>
      <c r="N36" s="105"/>
      <c r="O36" s="34"/>
      <c r="P36" s="34"/>
      <c r="Q36" s="106"/>
      <c r="R36" s="107"/>
      <c r="S36" s="108"/>
      <c r="T36" s="34"/>
      <c r="U36" s="34"/>
      <c r="V36" s="93">
        <f>(IF(OR(L36="t",L36="TA",),(M36+N36)*2/1000*S36/1000,(IF(OR(L36="F",L36="M"),(M36*N36),IF(L36="d",(M36+N36+U36/1/2)*2*S36,IF(L36="tb",((M36+N36)*2*S36+M36*N36),IF(OR(L36="g",L36="n"),((M36+O36)*SQRT((S36)^2+((N36-P36)/2)^2)+(N36+P36)*SQRT((S36)^2+((M36-O36)/2)^2)),IF(LEFT(L36,1)="c",(2*(PI()*((M36+T36)^2-T36^2)+N36*(PI()*(M36+T36)+PI()*T36))*(U36/360)),IF(LEFT(L36,2)="vt",((M36+O36)*SQRT((S36)^2+((N36-P36)/2)^2)+(N36+P36)*SQRT((S36)^2+((M36-O36)/2)^2)+((T36+200)^2-(T36/2)^2*3.14)),IF(L36="tt",(2*(M36+N36)*(S36-1.5*O36)+(PI()*(3*O36+2/3*M36)*(O36+2/3*M36+P36+N36)-(P36+N36)*(PI()*1.5*O36))/8+(PI()*(3*Q36+2/3*M36)*(Q36+2/3*M36+R36+N36)-(R36+N36)*(PI()*1.5*Q36))/8),0))))))))/10^6))</f>
        <v>0</v>
      </c>
      <c r="W36" s="94"/>
      <c r="X36" s="95"/>
    </row>
    <row r="37" ht="39.9" customHeight="1" spans="1:24">
      <c r="A37" s="96"/>
      <c r="B37" s="97"/>
      <c r="C37" s="98"/>
      <c r="D37" s="99"/>
      <c r="E37" s="100"/>
      <c r="F37" s="101"/>
      <c r="G37" s="102"/>
      <c r="H37" s="102"/>
      <c r="I37" s="103"/>
      <c r="K37" s="104">
        <f>+B37</f>
        <v>0</v>
      </c>
      <c r="L37" s="105"/>
      <c r="M37" s="105"/>
      <c r="N37" s="105"/>
      <c r="O37" s="34"/>
      <c r="P37" s="34"/>
      <c r="Q37" s="106"/>
      <c r="R37" s="107"/>
      <c r="S37" s="108"/>
      <c r="T37" s="34"/>
      <c r="U37" s="34"/>
      <c r="V37" s="93">
        <f>(IF(OR(L37="t",L37="TA",),(M37+N37)*2/1000*S37/1000,(IF(OR(L37="F",L37="M"),(M37*N37),IF(L37="d",(M37+N37+U37/1/2)*2*S37,IF(L37="tb",((M37+N37)*2*S37+M37*N37),IF(OR(L37="g",L37="n"),((M37+O37)*SQRT((S37)^2+((N37-P37)/2)^2)+(N37+P37)*SQRT((S37)^2+((M37-O37)/2)^2)),IF(LEFT(L37,1)="c",(2*(PI()*((M37+T37)^2-T37^2)+N37*(PI()*(M37+T37)+PI()*T37))*(U37/360)),IF(LEFT(L37,2)="vt",((M37+O37)*SQRT((S37)^2+((N37-P37)/2)^2)+(N37+P37)*SQRT((S37)^2+((M37-O37)/2)^2)+((T37+200)^2-(T37/2)^2*3.14)),IF(L37="tt",(2*(M37+N37)*(S37-1.5*O37)+(PI()*(3*O37+2/3*M37)*(O37+2/3*M37+P37+N37)-(P37+N37)*(PI()*1.5*O37))/8+(PI()*(3*Q37+2/3*M37)*(Q37+2/3*M37+R37+N37)-(R37+N37)*(PI()*1.5*Q37))/8),0))))))))/10^6))</f>
        <v>0</v>
      </c>
      <c r="W37" s="94"/>
      <c r="X37" s="95"/>
    </row>
    <row r="38" ht="39.9" customHeight="1" spans="1:24">
      <c r="A38" s="96"/>
      <c r="B38" s="97"/>
      <c r="C38" s="98"/>
      <c r="D38" s="99"/>
      <c r="E38" s="100"/>
      <c r="F38" s="101"/>
      <c r="G38" s="102"/>
      <c r="H38" s="102"/>
      <c r="I38" s="103"/>
      <c r="K38" s="104">
        <f>+B38</f>
        <v>0</v>
      </c>
      <c r="L38" s="105"/>
      <c r="M38" s="105"/>
      <c r="N38" s="105"/>
      <c r="O38" s="34"/>
      <c r="P38" s="34"/>
      <c r="Q38" s="106"/>
      <c r="R38" s="107"/>
      <c r="S38" s="108"/>
      <c r="T38" s="34"/>
      <c r="U38" s="34"/>
      <c r="V38" s="93">
        <f>(IF(OR(L38="t",L38="TA",),(M38+N38)*2/1000*S38/1000,(IF(OR(L38="F",L38="M"),(M38*N38),IF(L38="d",(M38+N38+U38/1/2)*2*S38,IF(L38="tb",((M38+N38)*2*S38+M38*N38),IF(OR(L38="g",L38="n"),((M38+O38)*SQRT((S38)^2+((N38-P38)/2)^2)+(N38+P38)*SQRT((S38)^2+((M38-O38)/2)^2)),IF(LEFT(L38,1)="c",(2*(PI()*((M38+T38)^2-T38^2)+N38*(PI()*(M38+T38)+PI()*T38))*(U38/360)),IF(LEFT(L38,2)="vt",((M38+O38)*SQRT((S38)^2+((N38-P38)/2)^2)+(N38+P38)*SQRT((S38)^2+((M38-O38)/2)^2)+((T38+200)^2-(T38/2)^2*3.14)),IF(L38="tt",(2*(M38+N38)*(S38-1.5*O38)+(PI()*(3*O38+2/3*M38)*(O38+2/3*M38+P38+N38)-(P38+N38)*(PI()*1.5*O38))/8+(PI()*(3*Q38+2/3*M38)*(Q38+2/3*M38+R38+N38)-(R38+N38)*(PI()*1.5*Q38))/8),0))))))))/10^6))</f>
        <v>0</v>
      </c>
      <c r="W38" s="94"/>
      <c r="X38" s="95"/>
    </row>
    <row r="39" ht="39.9" customHeight="1" spans="1:24">
      <c r="A39" s="96"/>
      <c r="B39" s="97"/>
      <c r="C39" s="98"/>
      <c r="D39" s="99"/>
      <c r="E39" s="100"/>
      <c r="F39" s="101"/>
      <c r="G39" s="102"/>
      <c r="H39" s="102"/>
      <c r="I39" s="103"/>
      <c r="K39" s="104">
        <f>+B39</f>
        <v>0</v>
      </c>
      <c r="L39" s="105"/>
      <c r="M39" s="105"/>
      <c r="N39" s="105"/>
      <c r="O39" s="34"/>
      <c r="P39" s="34"/>
      <c r="Q39" s="106"/>
      <c r="R39" s="107"/>
      <c r="S39" s="108"/>
      <c r="T39" s="34"/>
      <c r="U39" s="34"/>
      <c r="V39" s="93">
        <f>(IF(OR(L39="t",L39="TA",),(M39+N39)*2/1000*S39/1000,(IF(OR(L39="F",L39="M"),(M39*N39),IF(L39="d",(M39+N39+U39/1/2)*2*S39,IF(L39="tb",((M39+N39)*2*S39+M39*N39),IF(OR(L39="g",L39="n"),((M39+O39)*SQRT((S39)^2+((N39-P39)/2)^2)+(N39+P39)*SQRT((S39)^2+((M39-O39)/2)^2)),IF(LEFT(L39,1)="c",(2*(PI()*((M39+T39)^2-T39^2)+N39*(PI()*(M39+T39)+PI()*T39))*(U39/360)),IF(LEFT(L39,2)="vt",((M39+O39)*SQRT((S39)^2+((N39-P39)/2)^2)+(N39+P39)*SQRT((S39)^2+((M39-O39)/2)^2)+((T39+200)^2-(T39/2)^2*3.14)),IF(L39="tt",(2*(M39+N39)*(S39-1.5*O39)+(PI()*(3*O39+2/3*M39)*(O39+2/3*M39+P39+N39)-(P39+N39)*(PI()*1.5*O39))/8+(PI()*(3*Q39+2/3*M39)*(Q39+2/3*M39+R39+N39)-(R39+N39)*(PI()*1.5*Q39))/8),0))))))))/10^6))</f>
        <v>0</v>
      </c>
      <c r="W39" s="94"/>
      <c r="X39" s="95"/>
    </row>
    <row r="40" ht="39.9" customHeight="1" spans="1:24">
      <c r="A40" s="96"/>
      <c r="B40" s="97"/>
      <c r="C40" s="98"/>
      <c r="D40" s="99"/>
      <c r="E40" s="100"/>
      <c r="F40" s="101"/>
      <c r="G40" s="102"/>
      <c r="H40" s="102"/>
      <c r="I40" s="103"/>
      <c r="K40" s="104">
        <f>+B40</f>
        <v>0</v>
      </c>
      <c r="L40" s="105"/>
      <c r="M40" s="105"/>
      <c r="N40" s="105"/>
      <c r="O40" s="34"/>
      <c r="P40" s="34"/>
      <c r="Q40" s="106"/>
      <c r="R40" s="107"/>
      <c r="S40" s="108"/>
      <c r="T40" s="34"/>
      <c r="U40" s="34"/>
      <c r="V40" s="93">
        <f>(IF(OR(L40="t",L40="TA",),(M40+N40)*2/1000*S40/1000,(IF(OR(L40="F",L40="M"),(M40*N40),IF(L40="d",(M40+N40+U40/1/2)*2*S40,IF(L40="tb",((M40+N40)*2*S40+M40*N40),IF(OR(L40="g",L40="n"),((M40+O40)*SQRT((S40)^2+((N40-P40)/2)^2)+(N40+P40)*SQRT((S40)^2+((M40-O40)/2)^2)),IF(LEFT(L40,1)="c",(2*(PI()*((M40+T40)^2-T40^2)+N40*(PI()*(M40+T40)+PI()*T40))*(U40/360)),IF(LEFT(L40,2)="vt",((M40+O40)*SQRT((S40)^2+((N40-P40)/2)^2)+(N40+P40)*SQRT((S40)^2+((M40-O40)/2)^2)+((T40+200)^2-(T40/2)^2*3.14)),IF(L40="tt",(2*(M40+N40)*(S40-1.5*O40)+(PI()*(3*O40+2/3*M40)*(O40+2/3*M40+P40+N40)-(P40+N40)*(PI()*1.5*O40))/8+(PI()*(3*Q40+2/3*M40)*(Q40+2/3*M40+R40+N40)-(R40+N40)*(PI()*1.5*Q40))/8),0))))))))/10^6))</f>
        <v>0</v>
      </c>
      <c r="W40" s="94"/>
      <c r="X40" s="95"/>
    </row>
    <row r="41" ht="39.9" customHeight="1" spans="1:24">
      <c r="A41" s="96"/>
      <c r="B41" s="97"/>
      <c r="C41" s="98"/>
      <c r="D41" s="99"/>
      <c r="E41" s="100"/>
      <c r="F41" s="101"/>
      <c r="G41" s="102"/>
      <c r="H41" s="102"/>
      <c r="I41" s="103"/>
      <c r="K41" s="104">
        <f>+B41</f>
        <v>0</v>
      </c>
      <c r="L41" s="105"/>
      <c r="M41" s="105"/>
      <c r="N41" s="105"/>
      <c r="O41" s="34"/>
      <c r="P41" s="34"/>
      <c r="Q41" s="106"/>
      <c r="R41" s="107"/>
      <c r="S41" s="108"/>
      <c r="T41" s="34"/>
      <c r="U41" s="34"/>
      <c r="V41" s="93">
        <f>(IF(OR(L41="t",L41="TA",),(M41+N41)*2/1000*S41/1000,(IF(OR(L41="F",L41="M"),(M41*N41),IF(L41="d",(M41+N41+U41/1/2)*2*S41,IF(L41="tb",((M41+N41)*2*S41+M41*N41),IF(OR(L41="g",L41="n"),((M41+O41)*SQRT((S41)^2+((N41-P41)/2)^2)+(N41+P41)*SQRT((S41)^2+((M41-O41)/2)^2)),IF(LEFT(L41,1)="c",(2*(PI()*((M41+T41)^2-T41^2)+N41*(PI()*(M41+T41)+PI()*T41))*(U41/360)),IF(LEFT(L41,2)="vt",((M41+O41)*SQRT((S41)^2+((N41-P41)/2)^2)+(N41+P41)*SQRT((S41)^2+((M41-O41)/2)^2)+((T41+200)^2-(T41/2)^2*3.14)),IF(L41="tt",(2*(M41+N41)*(S41-1.5*O41)+(PI()*(3*O41+2/3*M41)*(O41+2/3*M41+P41+N41)-(P41+N41)*(PI()*1.5*O41))/8+(PI()*(3*Q41+2/3*M41)*(Q41+2/3*M41+R41+N41)-(R41+N41)*(PI()*1.5*Q41))/8),0))))))))/10^6))</f>
        <v>0</v>
      </c>
      <c r="W41" s="94"/>
      <c r="X41" s="95"/>
    </row>
    <row r="42" ht="39.9" customHeight="1" spans="1:24">
      <c r="A42" s="96"/>
      <c r="B42" s="97"/>
      <c r="C42" s="98"/>
      <c r="D42" s="99"/>
      <c r="E42" s="100"/>
      <c r="F42" s="101"/>
      <c r="G42" s="102"/>
      <c r="H42" s="102"/>
      <c r="I42" s="103"/>
      <c r="K42" s="104">
        <f>+B42</f>
        <v>0</v>
      </c>
      <c r="L42" s="105"/>
      <c r="M42" s="105"/>
      <c r="N42" s="105"/>
      <c r="O42" s="34"/>
      <c r="P42" s="34"/>
      <c r="Q42" s="106"/>
      <c r="R42" s="107"/>
      <c r="S42" s="108"/>
      <c r="T42" s="34"/>
      <c r="U42" s="34"/>
      <c r="V42" s="93">
        <f>(IF(OR(L42="t",L42="TA",),(M42+N42)*2/1000*S42/1000,(IF(OR(L42="F",L42="M"),(M42*N42),IF(L42="d",(M42+N42+U42/1/2)*2*S42,IF(L42="tb",((M42+N42)*2*S42+M42*N42),IF(OR(L42="g",L42="n"),((M42+O42)*SQRT((S42)^2+((N42-P42)/2)^2)+(N42+P42)*SQRT((S42)^2+((M42-O42)/2)^2)),IF(LEFT(L42,1)="c",(2*(PI()*((M42+T42)^2-T42^2)+N42*(PI()*(M42+T42)+PI()*T42))*(U42/360)),IF(LEFT(L42,2)="vt",((M42+O42)*SQRT((S42)^2+((N42-P42)/2)^2)+(N42+P42)*SQRT((S42)^2+((M42-O42)/2)^2)+((T42+200)^2-(T42/2)^2*3.14)),IF(L42="tt",(2*(M42+N42)*(S42-1.5*O42)+(PI()*(3*O42+2/3*M42)*(O42+2/3*M42+P42+N42)-(P42+N42)*(PI()*1.5*O42))/8+(PI()*(3*Q42+2/3*M42)*(Q42+2/3*M42+R42+N42)-(R42+N42)*(PI()*1.5*Q42))/8),0))))))))/10^6))</f>
        <v>0</v>
      </c>
      <c r="W42" s="94"/>
      <c r="X42" s="95"/>
    </row>
    <row r="43" ht="39.9" customHeight="1" spans="1:24">
      <c r="A43" s="96"/>
      <c r="B43" s="97"/>
      <c r="C43" s="98"/>
      <c r="D43" s="99"/>
      <c r="E43" s="100"/>
      <c r="F43" s="101"/>
      <c r="G43" s="102"/>
      <c r="H43" s="102"/>
      <c r="I43" s="103"/>
      <c r="K43" s="104">
        <f>+B43</f>
        <v>0</v>
      </c>
      <c r="L43" s="105"/>
      <c r="M43" s="105"/>
      <c r="N43" s="105"/>
      <c r="O43" s="34"/>
      <c r="P43" s="34"/>
      <c r="Q43" s="106"/>
      <c r="R43" s="107"/>
      <c r="S43" s="108"/>
      <c r="T43" s="34"/>
      <c r="U43" s="34"/>
      <c r="V43" s="93">
        <f>(IF(OR(L43="t",L43="TA",),(M43+N43)*2/1000*S43/1000,(IF(OR(L43="F",L43="M"),(M43*N43),IF(L43="d",(M43+N43+U43/1/2)*2*S43,IF(L43="tb",((M43+N43)*2*S43+M43*N43),IF(OR(L43="g",L43="n"),((M43+O43)*SQRT((S43)^2+((N43-P43)/2)^2)+(N43+P43)*SQRT((S43)^2+((M43-O43)/2)^2)),IF(LEFT(L43,1)="c",(2*(PI()*((M43+T43)^2-T43^2)+N43*(PI()*(M43+T43)+PI()*T43))*(U43/360)),IF(LEFT(L43,2)="vt",((M43+O43)*SQRT((S43)^2+((N43-P43)/2)^2)+(N43+P43)*SQRT((S43)^2+((M43-O43)/2)^2)+((T43+200)^2-(T43/2)^2*3.14)),IF(L43="tt",(2*(M43+N43)*(S43-1.5*O43)+(PI()*(3*O43+2/3*M43)*(O43+2/3*M43+P43+N43)-(P43+N43)*(PI()*1.5*O43))/8+(PI()*(3*Q43+2/3*M43)*(Q43+2/3*M43+R43+N43)-(R43+N43)*(PI()*1.5*Q43))/8),0))))))))/10^6))</f>
        <v>0</v>
      </c>
      <c r="W43" s="94"/>
      <c r="X43" s="95"/>
    </row>
    <row r="44" ht="39.9" customHeight="1" spans="1:24">
      <c r="A44" s="96"/>
      <c r="B44" s="97"/>
      <c r="C44" s="98"/>
      <c r="D44" s="99"/>
      <c r="E44" s="100"/>
      <c r="F44" s="101"/>
      <c r="G44" s="102"/>
      <c r="H44" s="102"/>
      <c r="I44" s="103"/>
      <c r="K44" s="104">
        <f>+B44</f>
        <v>0</v>
      </c>
      <c r="L44" s="105"/>
      <c r="M44" s="105"/>
      <c r="N44" s="105"/>
      <c r="O44" s="34"/>
      <c r="P44" s="34"/>
      <c r="Q44" s="106"/>
      <c r="R44" s="107"/>
      <c r="S44" s="108"/>
      <c r="T44" s="34"/>
      <c r="U44" s="34"/>
      <c r="V44" s="93">
        <f>(IF(OR(L44="t",L44="TA",),(M44+N44)*2/1000*S44/1000,(IF(OR(L44="F",L44="M"),(M44*N44),IF(L44="d",(M44+N44+U44/1/2)*2*S44,IF(L44="tb",((M44+N44)*2*S44+M44*N44),IF(OR(L44="g",L44="n"),((M44+O44)*SQRT((S44)^2+((N44-P44)/2)^2)+(N44+P44)*SQRT((S44)^2+((M44-O44)/2)^2)),IF(LEFT(L44,1)="c",(2*(PI()*((M44+T44)^2-T44^2)+N44*(PI()*(M44+T44)+PI()*T44))*(U44/360)),IF(LEFT(L44,2)="vt",((M44+O44)*SQRT((S44)^2+((N44-P44)/2)^2)+(N44+P44)*SQRT((S44)^2+((M44-O44)/2)^2)+((T44+200)^2-(T44/2)^2*3.14)),IF(L44="tt",(2*(M44+N44)*(S44-1.5*O44)+(PI()*(3*O44+2/3*M44)*(O44+2/3*M44+P44+N44)-(P44+N44)*(PI()*1.5*O44))/8+(PI()*(3*Q44+2/3*M44)*(Q44+2/3*M44+R44+N44)-(R44+N44)*(PI()*1.5*Q44))/8),0))))))))/10^6))</f>
        <v>0</v>
      </c>
      <c r="W44" s="94"/>
      <c r="X44" s="95"/>
    </row>
    <row r="45" s="2" customFormat="1" ht="26.25" customHeight="1" spans="1:24">
      <c r="A45" s="109" t="s">
        <v>70</v>
      </c>
      <c r="B45" s="110" t="s">
        <v>71</v>
      </c>
      <c r="C45" s="110"/>
      <c r="D45" s="110"/>
      <c r="E45" s="110"/>
      <c r="F45" s="110"/>
      <c r="G45" s="110"/>
      <c r="H45" s="111">
        <f>SUM(H23:H44)</f>
        <v>0</v>
      </c>
      <c r="I45" s="112"/>
    </row>
    <row r="46" s="2" customFormat="1" ht="26.25" customHeight="1" spans="1:24">
      <c r="A46" s="109" t="s">
        <v>72</v>
      </c>
      <c r="B46" s="113" t="s">
        <v>73</v>
      </c>
      <c r="C46" s="113"/>
      <c r="D46" s="113"/>
      <c r="E46" s="113"/>
      <c r="F46" s="113"/>
      <c r="G46" s="113"/>
      <c r="H46" s="111">
        <f>H45*10%</f>
        <v>0</v>
      </c>
      <c r="I46" s="112"/>
    </row>
    <row r="47" s="2" customFormat="1" ht="26.25" customHeight="1" spans="1:24">
      <c r="A47" s="114" t="s">
        <v>74</v>
      </c>
      <c r="B47" s="113" t="s">
        <v>75</v>
      </c>
      <c r="C47" s="113"/>
      <c r="D47" s="113"/>
      <c r="E47" s="113"/>
      <c r="F47" s="115" t="s">
        <v>76</v>
      </c>
      <c r="G47" s="116"/>
      <c r="H47" s="117"/>
      <c r="I47" s="118"/>
    </row>
    <row r="48" s="2" customFormat="1" ht="26.25" customHeight="1" spans="1:24">
      <c r="A48" s="114" t="s">
        <v>77</v>
      </c>
      <c r="B48" s="119" t="s">
        <v>78</v>
      </c>
      <c r="C48" s="120"/>
      <c r="D48" s="120"/>
      <c r="E48" s="121"/>
      <c r="F48" s="115"/>
      <c r="G48" s="116"/>
      <c r="H48" s="117">
        <f>H47*8%</f>
        <v>0</v>
      </c>
      <c r="I48" s="118"/>
    </row>
    <row r="49" s="2" customFormat="1" ht="26.25" customHeight="1" spans="1:9">
      <c r="A49" s="122" t="s">
        <v>62</v>
      </c>
      <c r="B49" s="123" t="s">
        <v>79</v>
      </c>
      <c r="C49" s="123"/>
      <c r="D49" s="123"/>
      <c r="E49" s="123"/>
      <c r="F49" s="123"/>
      <c r="G49" s="123"/>
      <c r="H49" s="124">
        <f>SUM(H45:H48)</f>
        <v>0</v>
      </c>
      <c r="I49" s="125"/>
    </row>
    <row r="50" ht="17.25" customHeight="1" spans="1:9">
      <c r="A50" s="1"/>
      <c r="B50" s="126" t="s">
        <v>80</v>
      </c>
      <c r="C50" s="127"/>
      <c r="D50" s="1"/>
      <c r="E50" s="1"/>
      <c r="F50" s="128"/>
      <c r="I50" s="129"/>
    </row>
    <row r="51" ht="15.6" spans="1:9">
      <c r="A51" s="1"/>
      <c r="B51" s="126" t="s">
        <v>81</v>
      </c>
      <c r="C51" s="127"/>
      <c r="D51" s="1"/>
      <c r="E51" s="1"/>
      <c r="F51" s="128"/>
      <c r="I51" s="129"/>
    </row>
    <row r="52" ht="16.5" customHeight="1" spans="1:9">
      <c r="A52" s="1"/>
      <c r="B52" s="130" t="s">
        <v>82</v>
      </c>
      <c r="C52" s="2"/>
      <c r="D52" s="131"/>
      <c r="E52" s="131"/>
      <c r="F52" s="132"/>
      <c r="G52" s="132"/>
      <c r="I52" s="129"/>
    </row>
    <row r="53" ht="15.6" spans="1:9">
      <c r="A53" s="1"/>
      <c r="B53" s="130" t="s">
        <v>83</v>
      </c>
      <c r="C53" s="15"/>
      <c r="D53" s="131"/>
      <c r="E53" s="131"/>
      <c r="F53" s="132"/>
      <c r="G53" s="132"/>
      <c r="I53" s="129"/>
    </row>
    <row r="54" ht="15.6" spans="1:9">
      <c r="A54" s="1"/>
      <c r="B54" s="130" t="s">
        <v>84</v>
      </c>
      <c r="C54" s="15"/>
      <c r="D54" s="131"/>
      <c r="E54" s="133"/>
      <c r="F54" s="132"/>
      <c r="G54" s="132"/>
      <c r="I54" s="129"/>
    </row>
    <row r="55" ht="15.6" spans="1:9">
      <c r="A55" s="1"/>
      <c r="B55" s="130" t="s">
        <v>85</v>
      </c>
      <c r="C55" s="134"/>
      <c r="D55" s="131"/>
      <c r="E55" s="131"/>
      <c r="F55" s="132"/>
      <c r="G55" s="132"/>
      <c r="I55" s="129"/>
    </row>
    <row r="56" ht="15.6" spans="1:9">
      <c r="A56" s="1"/>
      <c r="B56" s="135" t="s">
        <v>86</v>
      </c>
      <c r="C56" s="134"/>
      <c r="D56" s="131"/>
      <c r="E56" s="131"/>
      <c r="F56" s="132"/>
      <c r="G56" s="132"/>
      <c r="I56" s="129"/>
    </row>
    <row r="57" ht="15.6" spans="1:9">
      <c r="A57" s="1"/>
      <c r="B57" s="130" t="s">
        <v>87</v>
      </c>
      <c r="C57" s="136"/>
      <c r="D57" s="137"/>
      <c r="E57" s="137"/>
      <c r="F57" s="138"/>
      <c r="G57" s="138"/>
      <c r="I57" s="129"/>
    </row>
    <row r="58" ht="15.6" spans="1:9">
      <c r="A58" s="1"/>
      <c r="B58" s="139" t="s">
        <v>88</v>
      </c>
      <c r="C58" s="140"/>
      <c r="D58" s="141"/>
      <c r="E58" s="141"/>
      <c r="F58" s="142"/>
      <c r="G58" s="142"/>
      <c r="I58" s="129"/>
    </row>
    <row r="59" ht="15.6" spans="1:9">
      <c r="A59" s="1"/>
      <c r="B59" s="130" t="s">
        <v>89</v>
      </c>
      <c r="C59" s="134"/>
      <c r="D59" s="141"/>
      <c r="E59" s="141"/>
      <c r="F59" s="142"/>
      <c r="G59" s="142"/>
      <c r="I59" s="129"/>
    </row>
    <row r="60" ht="15.6" spans="1:9">
      <c r="A60" s="1"/>
      <c r="B60" s="130"/>
      <c r="C60" s="134"/>
      <c r="D60" s="141"/>
      <c r="E60" s="141"/>
      <c r="F60" s="142"/>
      <c r="G60" s="142"/>
      <c r="I60" s="129"/>
    </row>
    <row r="61" ht="15.6" spans="1:9">
      <c r="A61" s="1"/>
      <c r="B61" s="140" t="s">
        <v>90</v>
      </c>
      <c r="C61" s="143"/>
      <c r="D61" s="143"/>
      <c r="E61" s="140"/>
      <c r="F61" s="140"/>
      <c r="G61" s="140" t="s">
        <v>91</v>
      </c>
      <c r="I61" s="129"/>
    </row>
    <row r="62" ht="15.6" spans="1:9">
      <c r="A62" s="1"/>
      <c r="B62" s="144" t="s">
        <v>92</v>
      </c>
      <c r="C62" s="143"/>
      <c r="D62" s="143"/>
      <c r="E62" s="145"/>
      <c r="F62" s="144"/>
      <c r="G62" s="144" t="s">
        <v>92</v>
      </c>
      <c r="I62" s="129"/>
    </row>
    <row r="63" ht="15.6" spans="1:9">
      <c r="A63" s="1"/>
      <c r="B63" s="146"/>
      <c r="C63" s="143"/>
      <c r="D63" s="143"/>
      <c r="E63" s="147"/>
      <c r="F63" s="148"/>
      <c r="G63" s="148"/>
      <c r="I63" s="129"/>
    </row>
  </sheetData>
  <mergeCells count="33">
    <mergeCell ref="A8:I8"/>
    <mergeCell ref="A9:B9"/>
    <mergeCell ref="C9:I9"/>
    <mergeCell ref="A10:B10"/>
    <mergeCell ref="C10:I10"/>
    <mergeCell ref="A11:B11"/>
    <mergeCell ref="C11:G11"/>
    <mergeCell ref="A12:B12"/>
    <mergeCell ref="C12:G12"/>
    <mergeCell ref="A13:B13"/>
    <mergeCell ref="C13:G13"/>
    <mergeCell ref="A14:B14"/>
    <mergeCell ref="A15:B15"/>
    <mergeCell ref="A16:B16"/>
    <mergeCell ref="A17:B17"/>
    <mergeCell ref="A18:I18"/>
    <mergeCell ref="A19:I19"/>
    <mergeCell ref="A20:H20"/>
    <mergeCell ref="L20:V20"/>
    <mergeCell ref="W20:X20"/>
    <mergeCell ref="B45:F45"/>
    <mergeCell ref="B46:F46"/>
    <mergeCell ref="B47:E47"/>
    <mergeCell ref="B48:E48"/>
    <mergeCell ref="B49:F49"/>
    <mergeCell ref="A21:A22"/>
    <mergeCell ref="B21:B22"/>
    <mergeCell ref="C21:C22"/>
    <mergeCell ref="D21:D22"/>
    <mergeCell ref="E21:E22"/>
    <mergeCell ref="F21:F22"/>
    <mergeCell ref="I21:I22"/>
    <mergeCell ref="K20:K21"/>
  </mergeCells>
  <conditionalFormatting sqref="F52:G55;F60:G63">
    <cfRule type="cellIs" dxfId="0" priority="2" stopIfTrue="1" operator="lessThan">
      <formula>0.05</formula>
    </cfRule>
  </conditionalFormatting>
  <conditionalFormatting sqref="F56:G59">
    <cfRule type="cellIs" dxfId="0" priority="1" stopIfTrue="1" operator="lessThan">
      <formula>0.05</formula>
    </cfRule>
  </conditionalFormatting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Mẫu - xây lắp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2026-07-10T13:51:46Z</dcterms:created>
  <dcterms:modified xsi:type="dcterms:W3CDTF">2026-07-10T13:52:10Z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1AE1909032CE4FF5A7F88AB76E2FB5D5_11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