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840" tabRatio="600" firstSheet="0" activeTab="0" autoFilterDateGrouping="1"/>
  </bookViews>
  <sheets>
    <sheet name="Mẫu - xây lắp" sheetId="1" state="visible" r:id="rId1"/>
    <sheet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_(* #,##0_);_(* \(#,##0\);_(* &quot;-&quot;??_);_(@_)"/>
    <numFmt numFmtId="165" formatCode="_-* #,##0.00\ _₫_-;\-* #,##0.00\ _₫_-;_-* &quot;-&quot;??\ _₫_-;_-@_-"/>
    <numFmt numFmtId="166" formatCode="_-* #,##0_-;\-* #,##0_-;_-* &quot;-&quot;??_-;_-@_-"/>
    <numFmt numFmtId="167" formatCode="0.0"/>
    <numFmt numFmtId="168" formatCode="_-* #,##0\ _₫_-;\-* #,##0\ _₫_-;_-* &quot;-&quot;??\ _₫_-;_-@_-"/>
    <numFmt numFmtId="169" formatCode="_(* #,##0.0_);_(* \(#,##0.0\);_(* &quot;-&quot;??_);_(@_)"/>
    <numFmt numFmtId="170" formatCode="_ * #,##0.00_ ;_ * \-#,##0.00_ ;_ * &quot;-&quot;??_ ;_ @_ "/>
    <numFmt numFmtId="171" formatCode="_-* #,##0.00\ &quot;₫&quot;_-;\-* #,##0.00\ &quot;₫&quot;_-;_-* &quot;-&quot;??\ &quot;₫&quot;_-;_-@_-"/>
    <numFmt numFmtId="172" formatCode="_ * #,##0_ ;_ * \-#,##0_ ;_ * &quot;-&quot;_ ;_ @_ "/>
    <numFmt numFmtId="173" formatCode="_-* #,##0\ &quot;₫&quot;_-;\-* #,##0\ &quot;₫&quot;_-;_-* &quot;-&quot;\ &quot;₫&quot;_-;_-@_-"/>
  </numFmts>
  <fonts count="49">
    <font>
      <name val="Calibri"/>
      <charset val="134"/>
      <color theme="1"/>
      <sz val="11"/>
      <scheme val="minor"/>
    </font>
    <font>
      <name val="Times New Roman"/>
      <charset val="134"/>
      <color rgb="FF000000"/>
      <sz val="12"/>
    </font>
    <font>
      <name val="Times New Roman"/>
      <charset val="134"/>
      <color theme="1"/>
      <sz val="12"/>
    </font>
    <font>
      <name val="Arial"/>
      <charset val="134"/>
      <color rgb="FF000000"/>
      <sz val="12"/>
    </font>
    <font>
      <name val="Times New Roman"/>
      <charset val="134"/>
      <sz val="12"/>
    </font>
    <font>
      <name val="Times New Roman"/>
      <charset val="134"/>
      <color indexed="9"/>
      <sz val="12"/>
    </font>
    <font>
      <name val="Times New Roman"/>
      <charset val="134"/>
      <b val="1"/>
      <sz val="20"/>
    </font>
    <font>
      <name val="Times New Roman"/>
      <charset val="134"/>
      <b val="1"/>
      <color theme="1"/>
      <sz val="12"/>
    </font>
    <font>
      <name val="Times New Roman"/>
      <charset val="134"/>
      <b val="1"/>
      <sz val="12"/>
    </font>
    <font>
      <name val="Times New Roman"/>
      <charset val="134"/>
      <color rgb="FF000000"/>
      <sz val="10"/>
    </font>
    <font>
      <name val="Times New Roman"/>
      <charset val="134"/>
      <color rgb="FF001A33"/>
      <sz val="12"/>
    </font>
    <font>
      <name val="Times New Roman"/>
      <charset val="134"/>
      <color rgb="FFFF0000"/>
      <sz val="13"/>
    </font>
    <font>
      <name val="Times New Roman"/>
      <charset val="134"/>
      <i val="1"/>
      <sz val="12"/>
    </font>
    <font>
      <name val="Times New Roman"/>
      <charset val="134"/>
      <b val="1"/>
      <sz val="14"/>
    </font>
    <font>
      <name val="Arial"/>
      <charset val="134"/>
      <color rgb="FF000000"/>
      <sz val="14"/>
    </font>
    <font>
      <name val="Times New Roman"/>
      <charset val="134"/>
      <b val="1"/>
      <i val="1"/>
      <color rgb="FFFF0000"/>
      <sz val="12"/>
    </font>
    <font>
      <name val="Times New Roman"/>
      <charset val="134"/>
      <b val="1"/>
      <i val="1"/>
      <sz val="13"/>
    </font>
    <font>
      <name val="Times New Roman"/>
      <charset val="134"/>
      <i val="1"/>
      <sz val="13"/>
    </font>
    <font>
      <name val="Times New Roman"/>
      <charset val="134"/>
      <color indexed="8"/>
      <sz val="13"/>
    </font>
    <font>
      <name val="Times New Roman"/>
      <charset val="134"/>
      <color theme="1"/>
      <sz val="13"/>
    </font>
    <font>
      <name val="Times New Roman"/>
      <charset val="134"/>
      <sz val="13"/>
    </font>
    <font>
      <name val="Times New Roman"/>
      <charset val="134"/>
      <b val="1"/>
      <sz val="13"/>
    </font>
    <font>
      <name val="Times New Roman"/>
      <charset val="134"/>
      <b val="1"/>
      <color rgb="FF000000"/>
      <sz val="12"/>
      <u val="single"/>
    </font>
    <font>
      <name val="Times New Roman"/>
      <charset val="134"/>
      <b val="1"/>
      <color rgb="FF000000"/>
      <sz val="12"/>
    </font>
    <font>
      <name val="Times New Roman"/>
      <charset val="134"/>
      <color rgb="FFFF0000"/>
      <sz val="12"/>
    </font>
    <font>
      <name val="Times New Roman"/>
      <charset val="134"/>
      <b val="1"/>
      <i val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VNI-Aptima"/>
      <charset val="134"/>
      <sz val="10"/>
    </font>
    <font>
      <name val="Calibri"/>
      <charset val="134"/>
      <color theme="1"/>
      <sz val="11"/>
      <scheme val="minor"/>
    </font>
    <font>
      <name val="Arial"/>
      <charset val="134"/>
      <sz val="10"/>
    </font>
    <font>
      <name val="Arial"/>
      <charset val="134"/>
      <color theme="1"/>
      <sz val="11"/>
    </font>
  </fonts>
  <fills count="3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7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double">
        <color auto="1"/>
      </right>
      <top style="hair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</borders>
  <cellStyleXfs count="54">
    <xf numFmtId="0" fontId="46" fillId="0" borderId="0" applyAlignment="1">
      <alignment vertical="center"/>
    </xf>
    <xf numFmtId="170" fontId="46" fillId="0" borderId="0" applyAlignment="1">
      <alignment vertical="center"/>
    </xf>
    <xf numFmtId="171" fontId="46" fillId="0" borderId="0" applyAlignment="1">
      <alignment vertical="center"/>
    </xf>
    <xf numFmtId="9" fontId="46" fillId="0" borderId="0" applyAlignment="1">
      <alignment vertical="center"/>
    </xf>
    <xf numFmtId="172" fontId="46" fillId="0" borderId="0" applyAlignment="1">
      <alignment vertical="center"/>
    </xf>
    <xf numFmtId="173" fontId="46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46" fillId="6" borderId="52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0" applyAlignment="1">
      <alignment vertical="center"/>
    </xf>
    <xf numFmtId="0" fontId="31" fillId="0" borderId="53" applyAlignment="1">
      <alignment vertical="center"/>
    </xf>
    <xf numFmtId="0" fontId="32" fillId="0" borderId="53" applyAlignment="1">
      <alignment vertical="center"/>
    </xf>
    <xf numFmtId="0" fontId="33" fillId="0" borderId="54" applyAlignment="1">
      <alignment vertical="center"/>
    </xf>
    <xf numFmtId="0" fontId="33" fillId="0" borderId="0" applyAlignment="1">
      <alignment vertical="center"/>
    </xf>
    <xf numFmtId="0" fontId="34" fillId="7" borderId="55" applyAlignment="1">
      <alignment vertical="center"/>
    </xf>
    <xf numFmtId="0" fontId="35" fillId="8" borderId="56" applyAlignment="1">
      <alignment vertical="center"/>
    </xf>
    <xf numFmtId="0" fontId="36" fillId="8" borderId="55" applyAlignment="1">
      <alignment vertical="center"/>
    </xf>
    <xf numFmtId="0" fontId="37" fillId="9" borderId="57" applyAlignment="1">
      <alignment vertical="center"/>
    </xf>
    <xf numFmtId="0" fontId="38" fillId="0" borderId="58" applyAlignment="1">
      <alignment vertical="center"/>
    </xf>
    <xf numFmtId="0" fontId="39" fillId="0" borderId="59" applyAlignment="1">
      <alignment vertical="center"/>
    </xf>
    <xf numFmtId="0" fontId="40" fillId="10" borderId="0" applyAlignment="1">
      <alignment vertical="center"/>
    </xf>
    <xf numFmtId="0" fontId="41" fillId="11" borderId="0" applyAlignment="1">
      <alignment vertical="center"/>
    </xf>
    <xf numFmtId="0" fontId="42" fillId="12" borderId="0" applyAlignment="1">
      <alignment vertical="center"/>
    </xf>
    <xf numFmtId="0" fontId="43" fillId="13" borderId="0" applyAlignment="1">
      <alignment vertical="center"/>
    </xf>
    <xf numFmtId="0" fontId="44" fillId="14" borderId="0" applyAlignment="1">
      <alignment vertical="center"/>
    </xf>
    <xf numFmtId="0" fontId="44" fillId="15" borderId="0" applyAlignment="1">
      <alignment vertical="center"/>
    </xf>
    <xf numFmtId="0" fontId="43" fillId="16" borderId="0" applyAlignment="1">
      <alignment vertical="center"/>
    </xf>
    <xf numFmtId="0" fontId="43" fillId="17" borderId="0" applyAlignment="1">
      <alignment vertical="center"/>
    </xf>
    <xf numFmtId="0" fontId="44" fillId="18" borderId="0" applyAlignment="1">
      <alignment vertical="center"/>
    </xf>
    <xf numFmtId="0" fontId="44" fillId="19" borderId="0" applyAlignment="1">
      <alignment vertical="center"/>
    </xf>
    <xf numFmtId="0" fontId="43" fillId="20" borderId="0" applyAlignment="1">
      <alignment vertical="center"/>
    </xf>
    <xf numFmtId="0" fontId="43" fillId="21" borderId="0" applyAlignment="1">
      <alignment vertical="center"/>
    </xf>
    <xf numFmtId="0" fontId="44" fillId="22" borderId="0" applyAlignment="1">
      <alignment vertical="center"/>
    </xf>
    <xf numFmtId="0" fontId="44" fillId="23" borderId="0" applyAlignment="1">
      <alignment vertical="center"/>
    </xf>
    <xf numFmtId="0" fontId="43" fillId="24" borderId="0" applyAlignment="1">
      <alignment vertical="center"/>
    </xf>
    <xf numFmtId="0" fontId="43" fillId="25" borderId="0" applyAlignment="1">
      <alignment vertical="center"/>
    </xf>
    <xf numFmtId="0" fontId="44" fillId="26" borderId="0" applyAlignment="1">
      <alignment vertical="center"/>
    </xf>
    <xf numFmtId="0" fontId="44" fillId="27" borderId="0" applyAlignment="1">
      <alignment vertical="center"/>
    </xf>
    <xf numFmtId="0" fontId="43" fillId="28" borderId="0" applyAlignment="1">
      <alignment vertical="center"/>
    </xf>
    <xf numFmtId="0" fontId="43" fillId="29" borderId="0" applyAlignment="1">
      <alignment vertical="center"/>
    </xf>
    <xf numFmtId="0" fontId="44" fillId="30" borderId="0" applyAlignment="1">
      <alignment vertical="center"/>
    </xf>
    <xf numFmtId="0" fontId="44" fillId="31" borderId="0" applyAlignment="1">
      <alignment vertical="center"/>
    </xf>
    <xf numFmtId="0" fontId="43" fillId="32" borderId="0" applyAlignment="1">
      <alignment vertical="center"/>
    </xf>
    <xf numFmtId="0" fontId="43" fillId="33" borderId="0" applyAlignment="1">
      <alignment vertical="center"/>
    </xf>
    <xf numFmtId="0" fontId="44" fillId="34" borderId="0" applyAlignment="1">
      <alignment vertical="center"/>
    </xf>
    <xf numFmtId="0" fontId="44" fillId="35" borderId="0" applyAlignment="1">
      <alignment vertical="center"/>
    </xf>
    <xf numFmtId="0" fontId="43" fillId="36" borderId="0" applyAlignment="1">
      <alignment vertical="center"/>
    </xf>
    <xf numFmtId="0" fontId="45" fillId="0" borderId="0"/>
    <xf numFmtId="43" fontId="46" fillId="0" borderId="0"/>
    <xf numFmtId="43" fontId="47" fillId="0" borderId="0"/>
    <xf numFmtId="0" fontId="48" fillId="0" borderId="0"/>
    <xf numFmtId="0" fontId="47" fillId="0" borderId="0"/>
  </cellStyleXfs>
  <cellXfs count="187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4" fillId="0" borderId="1" pivotButton="0" quotePrefix="0" xfId="0"/>
    <xf numFmtId="0" fontId="4" fillId="0" borderId="2" pivotButton="0" quotePrefix="0" xfId="0"/>
    <xf numFmtId="0" fontId="4" fillId="0" borderId="2" applyAlignment="1" pivotButton="0" quotePrefix="0" xfId="0">
      <alignment horizontal="center" vertical="center"/>
    </xf>
    <xf numFmtId="4" fontId="4" fillId="2" borderId="2" applyAlignment="1" pivotButton="0" quotePrefix="0" xfId="0">
      <alignment horizontal="right"/>
    </xf>
    <xf numFmtId="164" fontId="4" fillId="0" borderId="2" applyAlignment="1" pivotButton="0" quotePrefix="0" xfId="1">
      <alignment horizontal="center"/>
    </xf>
    <xf numFmtId="164" fontId="5" fillId="0" borderId="3" applyAlignment="1" pivotButton="0" quotePrefix="0" xfId="1">
      <alignment horizontal="left"/>
    </xf>
    <xf numFmtId="0" fontId="4" fillId="0" borderId="4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4" fontId="4" fillId="2" borderId="0" applyAlignment="1" pivotButton="0" quotePrefix="0" xfId="0">
      <alignment horizontal="right"/>
    </xf>
    <xf numFmtId="164" fontId="4" fillId="0" borderId="0" applyAlignment="1" pivotButton="0" quotePrefix="0" xfId="1">
      <alignment horizontal="center"/>
    </xf>
    <xf numFmtId="164" fontId="5" fillId="0" borderId="5" applyAlignment="1" pivotButton="0" quotePrefix="0" xfId="1">
      <alignment horizontal="left"/>
    </xf>
    <xf numFmtId="0" fontId="6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7" fillId="2" borderId="6" applyAlignment="1" pivotButton="0" quotePrefix="0" xfId="0">
      <alignment vertical="center" wrapText="1"/>
    </xf>
    <xf numFmtId="0" fontId="7" fillId="2" borderId="7" applyAlignment="1" pivotButton="0" quotePrefix="0" xfId="0">
      <alignment vertical="center" wrapText="1"/>
    </xf>
    <xf numFmtId="0" fontId="8" fillId="0" borderId="7" applyAlignment="1" pivotButton="0" quotePrefix="0" xfId="0">
      <alignment vertical="center"/>
    </xf>
    <xf numFmtId="0" fontId="8" fillId="0" borderId="8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0" borderId="9" applyAlignment="1" pivotButton="0" quotePrefix="0" xfId="0">
      <alignment vertical="center"/>
    </xf>
    <xf numFmtId="0" fontId="1" fillId="3" borderId="9" applyAlignment="1" pivotButton="0" quotePrefix="0" xfId="49">
      <alignment horizontal="center" vertical="center"/>
    </xf>
    <xf numFmtId="0" fontId="2" fillId="2" borderId="10" applyAlignment="1" pivotButton="0" quotePrefix="0" xfId="0">
      <alignment vertical="center" wrapText="1"/>
    </xf>
    <xf numFmtId="0" fontId="2" fillId="2" borderId="11" applyAlignment="1" pivotButton="0" quotePrefix="0" xfId="0">
      <alignment vertical="center" wrapText="1"/>
    </xf>
    <xf numFmtId="0" fontId="4" fillId="0" borderId="12" applyAlignment="1" pivotButton="0" quotePrefix="0" xfId="0">
      <alignment vertical="center" wrapText="1"/>
    </xf>
    <xf numFmtId="0" fontId="4" fillId="0" borderId="13" applyAlignment="1" pivotButton="0" quotePrefix="0" xfId="0">
      <alignment vertical="center" wrapText="1"/>
    </xf>
    <xf numFmtId="0" fontId="4" fillId="0" borderId="14" applyAlignment="1" pivotButton="0" quotePrefix="0" xfId="0">
      <alignment vertical="center" wrapText="1"/>
    </xf>
    <xf numFmtId="0" fontId="1" fillId="0" borderId="9" pivotButton="0" quotePrefix="0" xfId="0"/>
    <xf numFmtId="0" fontId="4" fillId="2" borderId="12" applyAlignment="1" pivotButton="0" quotePrefix="0" xfId="0">
      <alignment horizontal="left"/>
    </xf>
    <xf numFmtId="0" fontId="4" fillId="2" borderId="13" applyAlignment="1" pivotButton="0" quotePrefix="0" xfId="0">
      <alignment horizontal="left"/>
    </xf>
    <xf numFmtId="0" fontId="4" fillId="2" borderId="15" applyAlignment="1" pivotButton="0" quotePrefix="0" xfId="0">
      <alignment horizontal="left"/>
    </xf>
    <xf numFmtId="0" fontId="4" fillId="0" borderId="11" pivotButton="0" quotePrefix="0" xfId="0"/>
    <xf numFmtId="0" fontId="10" fillId="0" borderId="16" pivotButton="0" quotePrefix="0" xfId="0"/>
    <xf numFmtId="3" fontId="2" fillId="2" borderId="16" applyAlignment="1" pivotButton="0" quotePrefix="0" xfId="0">
      <alignment horizontal="left" vertical="center"/>
    </xf>
    <xf numFmtId="0" fontId="7" fillId="2" borderId="10" applyAlignment="1" pivotButton="0" quotePrefix="0" xfId="0">
      <alignment vertical="center" wrapText="1"/>
    </xf>
    <xf numFmtId="0" fontId="7" fillId="2" borderId="11" applyAlignment="1" pivotButton="0" quotePrefix="0" xfId="0">
      <alignment vertical="center" wrapText="1"/>
    </xf>
    <xf numFmtId="0" fontId="7" fillId="2" borderId="12" applyAlignment="1" pivotButton="0" quotePrefix="0" xfId="0">
      <alignment horizontal="left" vertical="center"/>
    </xf>
    <xf numFmtId="0" fontId="7" fillId="2" borderId="13" applyAlignment="1" pivotButton="0" quotePrefix="0" xfId="0">
      <alignment horizontal="left" vertical="center"/>
    </xf>
    <xf numFmtId="0" fontId="7" fillId="2" borderId="15" applyAlignment="1" pivotButton="0" quotePrefix="0" xfId="0">
      <alignment horizontal="left" vertical="center"/>
    </xf>
    <xf numFmtId="0" fontId="4" fillId="2" borderId="11" applyAlignment="1" pivotButton="0" quotePrefix="0" xfId="0">
      <alignment vertical="center"/>
    </xf>
    <xf numFmtId="58" fontId="11" fillId="0" borderId="14" applyAlignment="1" pivotButton="0" quotePrefix="0" xfId="0">
      <alignment horizontal="left" vertical="center" wrapText="1"/>
    </xf>
    <xf numFmtId="0" fontId="2" fillId="2" borderId="12" applyAlignment="1" pivotButton="0" quotePrefix="0" xfId="0">
      <alignment vertical="center"/>
    </xf>
    <xf numFmtId="0" fontId="2" fillId="2" borderId="13" applyAlignment="1" pivotButton="0" quotePrefix="0" xfId="0">
      <alignment vertical="center"/>
    </xf>
    <xf numFmtId="0" fontId="2" fillId="2" borderId="15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2" fillId="2" borderId="16" applyAlignment="1" pivotButton="0" quotePrefix="0" xfId="0">
      <alignment horizontal="left" vertical="center"/>
    </xf>
    <xf numFmtId="0" fontId="2" fillId="2" borderId="17" applyAlignment="1" pivotButton="0" quotePrefix="0" xfId="0">
      <alignment vertical="center" wrapText="1"/>
    </xf>
    <xf numFmtId="0" fontId="2" fillId="2" borderId="18" applyAlignment="1" pivotButton="0" quotePrefix="0" xfId="0">
      <alignment vertical="center" wrapText="1"/>
    </xf>
    <xf numFmtId="0" fontId="4" fillId="2" borderId="19" applyAlignment="1" pivotButton="0" quotePrefix="0" xfId="0">
      <alignment vertical="center"/>
    </xf>
    <xf numFmtId="0" fontId="4" fillId="2" borderId="20" applyAlignment="1" pivotButton="0" quotePrefix="0" xfId="0">
      <alignment vertical="center"/>
    </xf>
    <xf numFmtId="0" fontId="4" fillId="2" borderId="21" applyAlignment="1" pivotButton="0" quotePrefix="0" xfId="0">
      <alignment vertical="center"/>
    </xf>
    <xf numFmtId="0" fontId="4" fillId="0" borderId="18" applyAlignment="1" pivotButton="0" quotePrefix="0" xfId="0">
      <alignment vertical="center"/>
    </xf>
    <xf numFmtId="0" fontId="2" fillId="2" borderId="22" applyAlignment="1" pivotButton="0" quotePrefix="0" xfId="0">
      <alignment horizontal="left" vertical="center"/>
    </xf>
    <xf numFmtId="164" fontId="1" fillId="4" borderId="0" pivotButton="0" quotePrefix="0" xfId="0"/>
    <xf numFmtId="0" fontId="12" fillId="0" borderId="4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5" applyAlignment="1" pivotButton="0" quotePrefix="0" xfId="0">
      <alignment horizontal="left" vertical="center" wrapText="1"/>
    </xf>
    <xf numFmtId="0" fontId="12" fillId="0" borderId="2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 vertical="center" wrapText="1"/>
    </xf>
    <xf numFmtId="0" fontId="12" fillId="0" borderId="25" applyAlignment="1" pivotButton="0" quotePrefix="0" xfId="0">
      <alignment horizontal="left" vertical="center" wrapText="1"/>
    </xf>
    <xf numFmtId="0" fontId="1" fillId="4" borderId="0" pivotButton="0" quotePrefix="0" xfId="0"/>
    <xf numFmtId="0" fontId="13" fillId="0" borderId="0" applyAlignment="1" pivotButton="0" quotePrefix="0" xfId="0">
      <alignment horizontal="center" vertical="center"/>
    </xf>
    <xf numFmtId="0" fontId="14" fillId="0" borderId="0" pivotButton="0" quotePrefix="0" xfId="0"/>
    <xf numFmtId="164" fontId="15" fillId="3" borderId="26" applyAlignment="1" pivotButton="0" quotePrefix="0" xfId="50">
      <alignment horizontal="left" vertical="center"/>
    </xf>
    <xf numFmtId="0" fontId="1" fillId="3" borderId="27" applyAlignment="1" pivotButton="0" quotePrefix="0" xfId="49">
      <alignment horizontal="center" vertical="center"/>
    </xf>
    <xf numFmtId="0" fontId="1" fillId="3" borderId="28" applyAlignment="1" pivotButton="0" quotePrefix="0" xfId="49">
      <alignment horizontal="center" vertical="center"/>
    </xf>
    <xf numFmtId="0" fontId="1" fillId="3" borderId="29" applyAlignment="1" pivotButton="0" quotePrefix="0" xfId="49">
      <alignment horizontal="center"/>
    </xf>
    <xf numFmtId="0" fontId="1" fillId="3" borderId="30" applyAlignment="1" pivotButton="0" quotePrefix="0" xfId="49">
      <alignment horizontal="center"/>
    </xf>
    <xf numFmtId="0" fontId="16" fillId="5" borderId="31" applyAlignment="1" pivotButton="0" quotePrefix="0" xfId="0">
      <alignment horizontal="center" vertical="center" wrapText="1"/>
    </xf>
    <xf numFmtId="0" fontId="16" fillId="5" borderId="32" applyAlignment="1" pivotButton="0" quotePrefix="0" xfId="0">
      <alignment horizontal="center" vertical="center" wrapText="1"/>
    </xf>
    <xf numFmtId="37" fontId="16" fillId="5" borderId="32" applyAlignment="1" pivotButton="0" quotePrefix="0" xfId="0">
      <alignment horizontal="center" vertical="center" wrapText="1"/>
    </xf>
    <xf numFmtId="37" fontId="16" fillId="5" borderId="33" applyAlignment="1" pivotButton="0" quotePrefix="0" xfId="0">
      <alignment horizontal="center" vertical="center" wrapText="1"/>
    </xf>
    <xf numFmtId="164" fontId="15" fillId="3" borderId="34" applyAlignment="1" pivotButton="0" quotePrefix="0" xfId="50">
      <alignment horizontal="left" vertical="center"/>
    </xf>
    <xf numFmtId="0" fontId="1" fillId="3" borderId="35" applyAlignment="1" pivotButton="0" quotePrefix="0" xfId="49">
      <alignment horizontal="center" vertical="center"/>
    </xf>
    <xf numFmtId="0" fontId="1" fillId="3" borderId="36" applyAlignment="1" pivotButton="0" quotePrefix="0" xfId="49">
      <alignment horizontal="center" vertical="center"/>
    </xf>
    <xf numFmtId="0" fontId="1" fillId="3" borderId="37" applyAlignment="1" pivotButton="0" quotePrefix="0" xfId="49">
      <alignment horizontal="center" vertical="center"/>
    </xf>
    <xf numFmtId="0" fontId="1" fillId="3" borderId="38" applyAlignment="1" pivotButton="0" quotePrefix="0" xfId="49">
      <alignment horizontal="center" vertical="center"/>
    </xf>
    <xf numFmtId="0" fontId="1" fillId="3" borderId="39" applyAlignment="1" pivotButton="0" quotePrefix="0" xfId="49">
      <alignment horizontal="center" vertical="center"/>
    </xf>
    <xf numFmtId="0" fontId="17" fillId="5" borderId="40" pivotButton="0" quotePrefix="0" xfId="0"/>
    <xf numFmtId="0" fontId="17" fillId="5" borderId="9" applyAlignment="1" pivotButton="0" quotePrefix="0" xfId="0">
      <alignment horizontal="center"/>
    </xf>
    <xf numFmtId="0" fontId="17" fillId="5" borderId="9" pivotButton="0" quotePrefix="0" xfId="0"/>
    <xf numFmtId="0" fontId="17" fillId="5" borderId="9" applyAlignment="1" pivotButton="0" quotePrefix="0" xfId="0">
      <alignment horizontal="center" vertical="center"/>
    </xf>
    <xf numFmtId="37" fontId="16" fillId="5" borderId="9" applyAlignment="1" pivotButton="0" quotePrefix="0" xfId="0">
      <alignment horizontal="center" vertical="center" wrapText="1"/>
    </xf>
    <xf numFmtId="0" fontId="17" fillId="5" borderId="41" applyAlignment="1" pivotButton="0" quotePrefix="0" xfId="0">
      <alignment horizontal="center" vertical="center"/>
    </xf>
    <xf numFmtId="164" fontId="15" fillId="2" borderId="42" applyAlignment="1" pivotButton="0" quotePrefix="0" xfId="50">
      <alignment horizontal="left" vertical="center" wrapText="1"/>
    </xf>
    <xf numFmtId="0" fontId="1" fillId="2" borderId="42" applyAlignment="1" pivotButton="0" quotePrefix="0" xfId="49">
      <alignment horizontal="center" vertical="center"/>
    </xf>
    <xf numFmtId="165" fontId="18" fillId="2" borderId="43" applyAlignment="1" pivotButton="0" quotePrefix="0" xfId="51">
      <alignment horizontal="center" vertical="center" wrapText="1"/>
    </xf>
    <xf numFmtId="164" fontId="1" fillId="2" borderId="9" applyAlignment="1" pivotButton="0" quotePrefix="0" xfId="51">
      <alignment horizontal="center" vertical="center"/>
    </xf>
    <xf numFmtId="43" fontId="1" fillId="2" borderId="9" applyAlignment="1" pivotButton="0" quotePrefix="0" xfId="51">
      <alignment horizontal="center" vertical="center"/>
    </xf>
    <xf numFmtId="0" fontId="19" fillId="0" borderId="40" applyAlignment="1" pivotButton="0" quotePrefix="0" xfId="0">
      <alignment horizontal="center" vertical="center"/>
    </xf>
    <xf numFmtId="0" fontId="19" fillId="2" borderId="9" applyAlignment="1" pivotButton="0" quotePrefix="0" xfId="0">
      <alignment horizontal="left" vertical="center" wrapText="1"/>
    </xf>
    <xf numFmtId="0" fontId="20" fillId="2" borderId="9" applyAlignment="1" pivotButton="0" quotePrefix="0" xfId="0">
      <alignment horizontal="center" vertical="center" wrapText="1"/>
    </xf>
    <xf numFmtId="0" fontId="20" fillId="0" borderId="9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6" fontId="19" fillId="2" borderId="9" applyAlignment="1" pivotButton="0" quotePrefix="0" xfId="1">
      <alignment vertical="center" wrapText="1"/>
    </xf>
    <xf numFmtId="37" fontId="20" fillId="2" borderId="9" applyAlignment="1" pivotButton="0" quotePrefix="0" xfId="0">
      <alignment horizontal="center" vertical="center"/>
    </xf>
    <xf numFmtId="0" fontId="11" fillId="2" borderId="41" applyAlignment="1" pivotButton="0" quotePrefix="0" xfId="0">
      <alignment horizontal="center" vertical="center" wrapText="1"/>
    </xf>
    <xf numFmtId="164" fontId="15" fillId="2" borderId="9" applyAlignment="1" pivotButton="0" quotePrefix="0" xfId="50">
      <alignment horizontal="left" vertical="center" wrapText="1"/>
    </xf>
    <xf numFmtId="0" fontId="1" fillId="0" borderId="9" applyAlignment="1" pivotButton="0" quotePrefix="0" xfId="0">
      <alignment horizontal="center" vertical="center"/>
    </xf>
    <xf numFmtId="167" fontId="1" fillId="0" borderId="9" pivotButton="0" quotePrefix="0" xfId="0"/>
    <xf numFmtId="2" fontId="1" fillId="0" borderId="9" pivotButton="0" quotePrefix="0" xfId="0"/>
    <xf numFmtId="0" fontId="1" fillId="2" borderId="9" applyAlignment="1" pivotButton="0" quotePrefix="0" xfId="49">
      <alignment horizontal="center" vertical="center"/>
    </xf>
    <xf numFmtId="0" fontId="21" fillId="5" borderId="40" applyAlignment="1" pivotButton="0" quotePrefix="0" xfId="52">
      <alignment horizontal="center" vertical="center" wrapText="1"/>
    </xf>
    <xf numFmtId="0" fontId="21" fillId="5" borderId="9" applyAlignment="1" pivotButton="0" quotePrefix="0" xfId="52">
      <alignment horizontal="center" vertical="center" wrapText="1"/>
    </xf>
    <xf numFmtId="168" fontId="21" fillId="5" borderId="9" applyAlignment="1" pivotButton="0" quotePrefix="0" xfId="1">
      <alignment horizontal="right" vertical="center"/>
    </xf>
    <xf numFmtId="168" fontId="21" fillId="5" borderId="41" applyAlignment="1" pivotButton="0" quotePrefix="0" xfId="1">
      <alignment horizontal="right" vertical="center"/>
    </xf>
    <xf numFmtId="0" fontId="21" fillId="5" borderId="9" applyAlignment="1" pivotButton="0" quotePrefix="0" xfId="52">
      <alignment horizontal="center" vertical="center"/>
    </xf>
    <xf numFmtId="0" fontId="21" fillId="5" borderId="44" applyAlignment="1" pivotButton="0" quotePrefix="0" xfId="52">
      <alignment horizontal="center" vertical="center" wrapText="1"/>
    </xf>
    <xf numFmtId="0" fontId="21" fillId="5" borderId="9" applyAlignment="1" pivotButton="0" quotePrefix="0" xfId="52">
      <alignment vertical="center"/>
    </xf>
    <xf numFmtId="0" fontId="21" fillId="5" borderId="43" applyAlignment="1" pivotButton="0" quotePrefix="0" xfId="52">
      <alignment horizontal="center" vertical="center"/>
    </xf>
    <xf numFmtId="168" fontId="21" fillId="5" borderId="43" applyAlignment="1" pivotButton="0" quotePrefix="0" xfId="1">
      <alignment horizontal="right" vertical="center"/>
    </xf>
    <xf numFmtId="168" fontId="21" fillId="5" borderId="45" applyAlignment="1" pivotButton="0" quotePrefix="0" xfId="1">
      <alignment horizontal="right" vertical="center"/>
    </xf>
    <xf numFmtId="0" fontId="21" fillId="5" borderId="46" applyAlignment="1" pivotButton="0" quotePrefix="0" xfId="52">
      <alignment horizontal="center" vertical="center"/>
    </xf>
    <xf numFmtId="0" fontId="21" fillId="5" borderId="47" applyAlignment="1" pivotButton="0" quotePrefix="0" xfId="52">
      <alignment horizontal="center" vertical="center"/>
    </xf>
    <xf numFmtId="0" fontId="21" fillId="5" borderId="48" applyAlignment="1" pivotButton="0" quotePrefix="0" xfId="52">
      <alignment horizontal="center" vertical="center"/>
    </xf>
    <xf numFmtId="0" fontId="21" fillId="5" borderId="49" applyAlignment="1" pivotButton="0" quotePrefix="0" xfId="52">
      <alignment horizontal="center" vertical="center" wrapText="1"/>
    </xf>
    <xf numFmtId="0" fontId="21" fillId="5" borderId="50" applyAlignment="1" pivotButton="0" quotePrefix="0" xfId="52">
      <alignment horizontal="center" vertical="center"/>
    </xf>
    <xf numFmtId="168" fontId="21" fillId="5" borderId="50" applyAlignment="1" pivotButton="0" quotePrefix="0" xfId="1">
      <alignment horizontal="right" vertical="center"/>
    </xf>
    <xf numFmtId="168" fontId="21" fillId="5" borderId="51" applyAlignment="1" pivotButton="0" quotePrefix="0" xfId="1">
      <alignment horizontal="right" vertical="center"/>
    </xf>
    <xf numFmtId="0" fontId="22" fillId="0" borderId="0" pivotButton="0" quotePrefix="0" xfId="0"/>
    <xf numFmtId="0" fontId="23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4" fillId="0" borderId="0" applyAlignment="1" pivotButton="0" quotePrefix="0" xfId="53">
      <alignment horizontal="left"/>
    </xf>
    <xf numFmtId="0" fontId="4" fillId="0" borderId="0" applyAlignment="1" pivotButton="0" quotePrefix="0" xfId="53">
      <alignment horizontal="center"/>
    </xf>
    <xf numFmtId="169" fontId="4" fillId="0" borderId="0" applyAlignment="1" pivotButton="0" quotePrefix="0" xfId="1">
      <alignment horizontal="center"/>
    </xf>
    <xf numFmtId="164" fontId="4" fillId="0" borderId="0" applyAlignment="1" pivotButton="0" quotePrefix="0" xfId="53">
      <alignment horizontal="center"/>
    </xf>
    <xf numFmtId="0" fontId="4" fillId="0" borderId="0" applyAlignment="1" pivotButton="0" quotePrefix="0" xfId="53">
      <alignment horizontal="center" vertical="center"/>
    </xf>
    <xf numFmtId="0" fontId="24" fillId="0" borderId="0" applyAlignment="1" pivotButton="0" quotePrefix="0" xfId="53">
      <alignment horizontal="left"/>
    </xf>
    <xf numFmtId="0" fontId="24" fillId="0" borderId="0" applyAlignment="1" pivotButton="0" quotePrefix="0" xfId="53">
      <alignment horizontal="center" vertical="center"/>
    </xf>
    <xf numFmtId="0" fontId="8" fillId="0" borderId="0" pivotButton="0" quotePrefix="0" xfId="53"/>
    <xf numFmtId="0" fontId="8" fillId="0" borderId="0" applyAlignment="1" pivotButton="0" quotePrefix="0" xfId="53">
      <alignment horizontal="center"/>
    </xf>
    <xf numFmtId="0" fontId="8" fillId="0" borderId="0" applyAlignment="1" pivotButton="0" quotePrefix="0" xfId="53">
      <alignment horizontal="left"/>
    </xf>
    <xf numFmtId="0" fontId="8" fillId="0" borderId="0" applyAlignment="1" pivotButton="0" quotePrefix="0" xfId="53">
      <alignment horizontal="center" vertical="center"/>
    </xf>
    <xf numFmtId="0" fontId="12" fillId="0" borderId="0" pivotButton="0" quotePrefix="0" xfId="53"/>
    <xf numFmtId="0" fontId="12" fillId="0" borderId="0" applyAlignment="1" pivotButton="0" quotePrefix="0" xfId="53">
      <alignment horizontal="center"/>
    </xf>
    <xf numFmtId="0" fontId="8" fillId="0" borderId="0" applyAlignment="1" pivotButton="0" quotePrefix="0" xfId="0">
      <alignment horizontal="center" vertical="center"/>
    </xf>
    <xf numFmtId="0" fontId="25" fillId="0" borderId="0" applyAlignment="1" pivotButton="0" quotePrefix="0" xfId="53">
      <alignment horizontal="center"/>
    </xf>
    <xf numFmtId="0" fontId="25" fillId="0" borderId="0" applyAlignment="1" pivotButton="0" quotePrefix="0" xfId="53">
      <alignment horizontal="center" vertical="center"/>
    </xf>
    <xf numFmtId="0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20" fillId="2" borderId="9" applyAlignment="1" pivotButton="0" quotePrefix="1" xfId="0">
      <alignment horizontal="center" vertical="center" wrapText="1"/>
    </xf>
    <xf numFmtId="0" fontId="0" fillId="0" borderId="0" pivotButton="0" quotePrefix="0" xfId="0"/>
    <xf numFmtId="164" fontId="4" fillId="0" borderId="2" applyAlignment="1" pivotButton="0" quotePrefix="0" xfId="1">
      <alignment horizontal="center"/>
    </xf>
    <xf numFmtId="164" fontId="5" fillId="0" borderId="3" applyAlignment="1" pivotButton="0" quotePrefix="0" xfId="1">
      <alignment horizontal="left"/>
    </xf>
    <xf numFmtId="164" fontId="4" fillId="0" borderId="0" applyAlignment="1" pivotButton="0" quotePrefix="0" xfId="1">
      <alignment horizontal="center"/>
    </xf>
    <xf numFmtId="164" fontId="5" fillId="0" borderId="5" applyAlignment="1" pivotButton="0" quotePrefix="0" xfId="1">
      <alignment horizontal="left"/>
    </xf>
    <xf numFmtId="0" fontId="6" fillId="0" borderId="6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15" pivotButton="0" quotePrefix="0" xfId="0"/>
    <xf numFmtId="0" fontId="4" fillId="0" borderId="16" applyAlignment="1" pivotButton="0" quotePrefix="0" xfId="0">
      <alignment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2" borderId="11" applyAlignment="1" pivotButton="0" quotePrefix="0" xfId="0">
      <alignment horizontal="left"/>
    </xf>
    <xf numFmtId="0" fontId="7" fillId="2" borderId="11" applyAlignment="1" pivotButton="0" quotePrefix="0" xfId="0">
      <alignment horizontal="left" vertical="center"/>
    </xf>
    <xf numFmtId="0" fontId="0" fillId="0" borderId="21" pivotButton="0" quotePrefix="0" xfId="0"/>
    <xf numFmtId="164" fontId="1" fillId="4" borderId="0" pivotButton="0" quotePrefix="0" xfId="0"/>
    <xf numFmtId="0" fontId="12" fillId="0" borderId="60" applyAlignment="1" pivotButton="0" quotePrefix="0" xfId="0">
      <alignment horizontal="left" vertical="center" wrapText="1"/>
    </xf>
    <xf numFmtId="0" fontId="12" fillId="0" borderId="68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25" pivotButton="0" quotePrefix="0" xfId="0"/>
    <xf numFmtId="164" fontId="15" fillId="3" borderId="34" applyAlignment="1" pivotButton="0" quotePrefix="0" xfId="50">
      <alignment horizontal="left" vertical="center"/>
    </xf>
    <xf numFmtId="0" fontId="0" fillId="0" borderId="30" pivotButton="0" quotePrefix="0" xfId="0"/>
    <xf numFmtId="0" fontId="0" fillId="0" borderId="34" pivotButton="0" quotePrefix="0" xfId="0"/>
    <xf numFmtId="0" fontId="0" fillId="0" borderId="72" pivotButton="0" quotePrefix="0" xfId="0"/>
    <xf numFmtId="0" fontId="0" fillId="0" borderId="74" pivotButton="0" quotePrefix="0" xfId="0"/>
    <xf numFmtId="0" fontId="0" fillId="0" borderId="76" pivotButton="0" quotePrefix="0" xfId="0"/>
    <xf numFmtId="164" fontId="15" fillId="2" borderId="42" applyAlignment="1" pivotButton="0" quotePrefix="0" xfId="50">
      <alignment horizontal="left" vertical="center" wrapText="1"/>
    </xf>
    <xf numFmtId="165" fontId="18" fillId="2" borderId="43" applyAlignment="1" pivotButton="0" quotePrefix="0" xfId="51">
      <alignment horizontal="center" vertical="center" wrapText="1"/>
    </xf>
    <xf numFmtId="164" fontId="1" fillId="2" borderId="9" applyAlignment="1" pivotButton="0" quotePrefix="0" xfId="51">
      <alignment horizontal="center" vertical="center"/>
    </xf>
    <xf numFmtId="43" fontId="1" fillId="2" borderId="9" applyAlignment="1" pivotButton="0" quotePrefix="0" xfId="51">
      <alignment horizontal="center" vertical="center"/>
    </xf>
    <xf numFmtId="166" fontId="19" fillId="2" borderId="9" applyAlignment="1" pivotButton="0" quotePrefix="0" xfId="1">
      <alignment vertical="center" wrapText="1"/>
    </xf>
    <xf numFmtId="0" fontId="46" fillId="0" borderId="0" pivotButton="0" quotePrefix="0" xfId="0"/>
    <xf numFmtId="164" fontId="15" fillId="2" borderId="9" applyAlignment="1" pivotButton="0" quotePrefix="0" xfId="50">
      <alignment horizontal="left" vertical="center" wrapText="1"/>
    </xf>
    <xf numFmtId="167" fontId="1" fillId="0" borderId="9" pivotButton="0" quotePrefix="0" xfId="0"/>
    <xf numFmtId="169" fontId="4" fillId="0" borderId="0" applyAlignment="1" pivotButton="0" quotePrefix="0" xfId="1">
      <alignment horizontal="center"/>
    </xf>
    <xf numFmtId="164" fontId="4" fillId="0" borderId="0" applyAlignment="1" pivotButton="0" quotePrefix="0" xfId="53">
      <alignment horizontal="center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3" xfId="49"/>
    <cellStyle name="Comma 16 3" xfId="50"/>
    <cellStyle name="Comma 3" xfId="51"/>
    <cellStyle name="Normal 5" xfId="52"/>
    <cellStyle name="Normal 2 3 2" xfId="53"/>
  </cellStyles>
  <dxfs count="18">
    <dxf>
      <font>
        <color theme="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322489</colOff>
      <row>0</row>
      <rowOff>108857</rowOff>
    </from>
    <to>
      <col>8</col>
      <colOff>1170214</colOff>
      <row>5</row>
      <rowOff>194582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21945" y="108585"/>
          <a:ext cx="13801725" cy="108585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7"/>
  <sheetViews>
    <sheetView tabSelected="1" zoomScale="85" zoomScaleNormal="85" workbookViewId="0">
      <pane ySplit="22" topLeftCell="A23" activePane="bottomLeft" state="frozen"/>
      <selection pane="bottomLeft" activeCell="B69" sqref="B69"/>
    </sheetView>
  </sheetViews>
  <sheetFormatPr baseColWidth="8" defaultColWidth="12.5555555555556" defaultRowHeight="15" customHeight="1"/>
  <cols>
    <col width="6.33333333333333" customWidth="1" style="3" min="1" max="1"/>
    <col width="66" customWidth="1" style="3" min="2" max="2"/>
    <col width="42.4444444444444" customWidth="1" style="3" min="3" max="3"/>
    <col width="20" customWidth="1" style="3" min="4" max="4"/>
    <col width="8.66666666666667" customWidth="1" style="3" min="5" max="5"/>
    <col width="13.4444444444444" customWidth="1" style="4" min="6" max="6"/>
    <col width="14.5555555555556" customWidth="1" style="5" min="7" max="7"/>
    <col width="17.4444444444444" customWidth="1" style="5" min="8" max="8"/>
    <col width="25.8888888888889" customWidth="1" style="6" min="9" max="9"/>
    <col width="11.6666666666667" customWidth="1" style="3" min="10" max="10"/>
    <col width="19.1111111111111" customWidth="1" style="3" min="11" max="11"/>
    <col width="14.6666666666667" customWidth="1" style="3" min="12" max="12"/>
    <col width="12.5555555555556" customWidth="1" style="3" min="13" max="21"/>
    <col width="16.3333333333333" customWidth="1" style="3" min="22" max="22"/>
    <col width="12.5555555555556" customWidth="1" style="3" min="23" max="16384"/>
  </cols>
  <sheetData>
    <row r="1" ht="16.35" customHeight="1" s="150">
      <c r="A1" s="7" t="n"/>
      <c r="B1" s="8" t="n"/>
      <c r="C1" s="9" t="n"/>
      <c r="D1" s="8" t="n"/>
      <c r="E1" s="10" t="n"/>
      <c r="F1" s="151" t="n"/>
      <c r="G1" s="151" t="n"/>
      <c r="H1" s="151" t="n"/>
      <c r="I1" s="152" t="n"/>
    </row>
    <row r="2" ht="15.6" customHeight="1" s="150">
      <c r="A2" s="13" t="n"/>
      <c r="B2" s="14" t="n"/>
      <c r="C2" s="15" t="n"/>
      <c r="D2" s="14" t="n"/>
      <c r="E2" s="16" t="n"/>
      <c r="F2" s="153" t="n"/>
      <c r="G2" s="153" t="n"/>
      <c r="H2" s="153" t="n"/>
      <c r="I2" s="154" t="n"/>
    </row>
    <row r="3" ht="15.6" customHeight="1" s="150">
      <c r="A3" s="13" t="n"/>
      <c r="B3" s="14" t="n"/>
      <c r="C3" s="15" t="n"/>
      <c r="D3" s="14" t="n"/>
      <c r="E3" s="16" t="n"/>
      <c r="F3" s="153" t="n"/>
      <c r="G3" s="153" t="n"/>
      <c r="H3" s="153" t="n"/>
      <c r="I3" s="154" t="n"/>
    </row>
    <row r="4" ht="15.6" customHeight="1" s="150">
      <c r="A4" s="13" t="n"/>
      <c r="B4" s="14" t="n"/>
      <c r="C4" s="15" t="n"/>
      <c r="D4" s="14" t="n"/>
      <c r="E4" s="16" t="n"/>
      <c r="F4" s="153" t="n"/>
      <c r="G4" s="153" t="n"/>
      <c r="H4" s="153" t="n"/>
      <c r="I4" s="154" t="n"/>
    </row>
    <row r="5" ht="15.6" customHeight="1" s="150">
      <c r="A5" s="13" t="n"/>
      <c r="B5" s="14" t="n"/>
      <c r="C5" s="15" t="n"/>
      <c r="D5" s="14" t="n"/>
      <c r="E5" s="16" t="n"/>
      <c r="F5" s="153" t="n"/>
      <c r="G5" s="153" t="n"/>
      <c r="H5" s="153" t="n"/>
      <c r="I5" s="154" t="n"/>
    </row>
    <row r="6" ht="15.6" customHeight="1" s="150">
      <c r="A6" s="13" t="n"/>
      <c r="B6" s="14" t="n"/>
      <c r="C6" s="15" t="n"/>
      <c r="D6" s="14" t="n"/>
      <c r="E6" s="16" t="n"/>
      <c r="F6" s="153" t="n"/>
      <c r="G6" s="153" t="n"/>
      <c r="H6" s="153" t="n"/>
      <c r="I6" s="154" t="n"/>
    </row>
    <row r="7" ht="9" customHeight="1" s="150">
      <c r="A7" s="13" t="n"/>
      <c r="B7" s="14" t="inlineStr">
        <is>
          <t>              </t>
        </is>
      </c>
      <c r="C7" s="15" t="n"/>
      <c r="D7" s="14" t="n"/>
      <c r="E7" s="16" t="n"/>
      <c r="F7" s="153" t="n"/>
      <c r="G7" s="153" t="n"/>
      <c r="H7" s="153" t="n"/>
      <c r="I7" s="154" t="n"/>
    </row>
    <row r="8" ht="31.5" customHeight="1" s="150">
      <c r="A8" s="155" t="inlineStr">
        <is>
          <t>BÁO GIÁ - QUOTATION</t>
        </is>
      </c>
      <c r="I8" s="156" t="n"/>
    </row>
    <row r="9" ht="15.6" customFormat="1" customHeight="1" s="1">
      <c r="A9" s="22" t="inlineStr">
        <is>
          <t>Kính Gửi:</t>
        </is>
      </c>
      <c r="B9" s="157" t="n"/>
      <c r="C9" s="24" t="inlineStr">
        <is>
          <t>TEST</t>
        </is>
      </c>
      <c r="D9" s="158" t="n"/>
      <c r="E9" s="158" t="n"/>
      <c r="F9" s="158" t="n"/>
      <c r="G9" s="158" t="n"/>
      <c r="H9" s="158" t="n"/>
      <c r="I9" s="157" t="n"/>
      <c r="J9" s="26" t="n"/>
      <c r="K9" s="27" t="n"/>
      <c r="L9" s="28" t="inlineStr">
        <is>
          <t>Mã SP</t>
        </is>
      </c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</row>
    <row r="10" ht="15.6" customFormat="1" customHeight="1" s="1">
      <c r="A10" s="29" t="inlineStr">
        <is>
          <t>Địa Chỉ:</t>
        </is>
      </c>
      <c r="B10" s="159" t="n"/>
      <c r="C10" s="160" t="n"/>
      <c r="D10" s="161" t="n"/>
      <c r="E10" s="161" t="n"/>
      <c r="F10" s="161" t="n"/>
      <c r="G10" s="161" t="n"/>
      <c r="H10" s="161" t="n"/>
      <c r="I10" s="162" t="n"/>
      <c r="J10" s="26" t="n"/>
      <c r="K10" s="27" t="inlineStr">
        <is>
          <t xml:space="preserve">Ống </t>
        </is>
      </c>
      <c r="L10" s="34" t="inlineStr">
        <is>
          <t>t</t>
        </is>
      </c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</row>
    <row r="11" ht="15.6" customFormat="1" customHeight="1" s="1">
      <c r="A11" s="29" t="inlineStr">
        <is>
          <t xml:space="preserve">Mã số thuế: </t>
        </is>
      </c>
      <c r="B11" s="159" t="n"/>
      <c r="C11" s="163" t="n"/>
      <c r="D11" s="161" t="n"/>
      <c r="E11" s="161" t="n"/>
      <c r="F11" s="161" t="n"/>
      <c r="G11" s="159" t="n"/>
      <c r="H11" s="38" t="inlineStr">
        <is>
          <t>Người Nhận</t>
        </is>
      </c>
      <c r="I11" s="39" t="n"/>
      <c r="J11" s="26" t="n"/>
      <c r="K11" s="34" t="inlineStr">
        <is>
          <t xml:space="preserve">Ống bịt đầu </t>
        </is>
      </c>
      <c r="L11" s="34" t="inlineStr">
        <is>
          <t>tb</t>
        </is>
      </c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  <row r="12" ht="15.6" customFormat="1" customHeight="1" s="1">
      <c r="A12" s="29" t="inlineStr">
        <is>
          <t>Số ĐT:</t>
        </is>
      </c>
      <c r="B12" s="159" t="n"/>
      <c r="C12" s="163" t="n"/>
      <c r="D12" s="161" t="n"/>
      <c r="E12" s="161" t="n"/>
      <c r="F12" s="161" t="n"/>
      <c r="G12" s="159" t="n"/>
      <c r="H12" s="38" t="inlineStr">
        <is>
          <t>Số điện thoại</t>
        </is>
      </c>
      <c r="I12" s="40" t="n"/>
      <c r="J12" s="26" t="n"/>
      <c r="K12" s="34" t="inlineStr">
        <is>
          <t>Côn thu / giảm cấp</t>
        </is>
      </c>
      <c r="L12" s="34" t="inlineStr">
        <is>
          <t>g</t>
        </is>
      </c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16.8" customFormat="1" customHeight="1" s="1">
      <c r="A13" s="41" t="inlineStr">
        <is>
          <t>Bên Bán:</t>
        </is>
      </c>
      <c r="B13" s="159" t="n"/>
      <c r="C13" s="164" t="inlineStr">
        <is>
          <t>: Công ty TNHH sản xuất,  thương mại và xây lắp Kaiyo Việt Nam</t>
        </is>
      </c>
      <c r="D13" s="161" t="n"/>
      <c r="E13" s="161" t="n"/>
      <c r="F13" s="161" t="n"/>
      <c r="G13" s="159" t="n"/>
      <c r="H13" s="46" t="inlineStr">
        <is>
          <t>Dự án</t>
        </is>
      </c>
      <c r="I13" s="47" t="inlineStr">
        <is>
          <t>TEST OG MIENG GIO</t>
        </is>
      </c>
      <c r="K13" s="34" t="inlineStr">
        <is>
          <t>Zét / Down-up</t>
        </is>
      </c>
      <c r="L13" s="34" t="inlineStr">
        <is>
          <t>d</t>
        </is>
      </c>
    </row>
    <row r="14" ht="16.8" customFormat="1" customHeight="1" s="1">
      <c r="A14" s="29" t="inlineStr">
        <is>
          <t>Xưởng sản xuất &amp; VPGD:</t>
        </is>
      </c>
      <c r="B14" s="159" t="n"/>
      <c r="C14" s="48" t="inlineStr">
        <is>
          <t>: Lô F49, Cụm Công nghiệp Làng nghề Minh Phương, Xã Nguyệt Đức, Tỉnh Phú Thọ, Việt Nam</t>
        </is>
      </c>
      <c r="D14" s="49" t="n"/>
      <c r="E14" s="49" t="n"/>
      <c r="F14" s="49" t="n"/>
      <c r="G14" s="50" t="n"/>
      <c r="H14" s="46" t="inlineStr">
        <is>
          <t>Số BG :</t>
        </is>
      </c>
      <c r="I14" s="47" t="n"/>
      <c r="K14" s="34" t="inlineStr">
        <is>
          <t xml:space="preserve">Cút / Co </t>
        </is>
      </c>
      <c r="L14" s="34" t="inlineStr">
        <is>
          <t>cv</t>
        </is>
      </c>
    </row>
    <row r="15" ht="16.8" customFormat="1" customHeight="1" s="1">
      <c r="A15" s="29" t="inlineStr">
        <is>
          <t>Số ĐT:</t>
        </is>
      </c>
      <c r="B15" s="159" t="n"/>
      <c r="C15" s="48" t="inlineStr">
        <is>
          <t>: 0987869292</t>
        </is>
      </c>
      <c r="D15" s="49" t="n"/>
      <c r="E15" s="49" t="n"/>
      <c r="F15" s="49" t="n"/>
      <c r="G15" s="50" t="n"/>
      <c r="H15" s="46" t="inlineStr">
        <is>
          <t>Ngày BG</t>
        </is>
      </c>
      <c r="I15" s="47" t="n"/>
      <c r="K15" s="34" t="inlineStr">
        <is>
          <t>Chân rẽ / Nối chân</t>
        </is>
      </c>
      <c r="L15" s="34" t="inlineStr">
        <is>
          <t>n</t>
        </is>
      </c>
    </row>
    <row r="16" ht="15.6" customFormat="1" customHeight="1" s="1">
      <c r="A16" s="29" t="inlineStr">
        <is>
          <t>Mã số thuế:</t>
        </is>
      </c>
      <c r="B16" s="159" t="n"/>
      <c r="C16" s="48" t="inlineStr">
        <is>
          <t>: 2500582409</t>
        </is>
      </c>
      <c r="D16" s="49" t="n"/>
      <c r="E16" s="49" t="n"/>
      <c r="F16" s="49" t="n"/>
      <c r="G16" s="50" t="n"/>
      <c r="H16" s="51" t="inlineStr">
        <is>
          <t xml:space="preserve">Hiệu lực           </t>
        </is>
      </c>
      <c r="I16" s="52" t="inlineStr">
        <is>
          <t>03-05 ngày</t>
        </is>
      </c>
      <c r="K16" s="34" t="inlineStr">
        <is>
          <t xml:space="preserve">Côn đầu quạt </t>
        </is>
      </c>
      <c r="L16" s="34" t="inlineStr">
        <is>
          <t>vt</t>
        </is>
      </c>
    </row>
    <row r="17" ht="15.6" customFormat="1" customHeight="1" s="1">
      <c r="A17" s="53" t="inlineStr">
        <is>
          <t>N/V Báo Giá:</t>
        </is>
      </c>
      <c r="B17" s="165" t="n"/>
      <c r="C17" s="55" t="inlineStr">
        <is>
          <t>: Mr. Kaiyo VN</t>
        </is>
      </c>
      <c r="D17" s="56" t="n"/>
      <c r="E17" s="56" t="n"/>
      <c r="F17" s="56" t="n"/>
      <c r="G17" s="57" t="n"/>
      <c r="H17" s="58" t="inlineStr">
        <is>
          <t xml:space="preserve">Tiến độ </t>
        </is>
      </c>
      <c r="I17" s="59" t="inlineStr">
        <is>
          <t>Theo dự án</t>
        </is>
      </c>
      <c r="K17" s="34" t="inlineStr">
        <is>
          <t>tê/chạc 3</t>
        </is>
      </c>
      <c r="L17" s="34" t="inlineStr">
        <is>
          <t>tt</t>
        </is>
      </c>
      <c r="X17" s="166" t="n"/>
    </row>
    <row r="18" ht="15.6" customFormat="1" customHeight="1" s="1">
      <c r="A18" s="167" t="inlineStr">
        <is>
          <t>Kaiyo Việt Nam chân thành cảm ơn quý khách đã tin tưởng sản phẩm của chúng tôi</t>
        </is>
      </c>
      <c r="I18" s="156" t="n"/>
      <c r="K18" s="34" t="n"/>
      <c r="L18" s="34" t="n"/>
      <c r="X18" s="166" t="n"/>
    </row>
    <row r="19" ht="15.75" customFormat="1" customHeight="1" s="1">
      <c r="A19" s="168" t="inlineStr">
        <is>
          <t>Theo yêu cầu của quý khách, chúng tôi xin được gửi báo giá với nội dung như sau:</t>
        </is>
      </c>
      <c r="B19" s="169" t="n"/>
      <c r="C19" s="169" t="n"/>
      <c r="D19" s="169" t="n"/>
      <c r="E19" s="169" t="n"/>
      <c r="F19" s="169" t="n"/>
      <c r="G19" s="169" t="n"/>
      <c r="H19" s="169" t="n"/>
      <c r="I19" s="170" t="n"/>
      <c r="X19" s="67" t="n"/>
    </row>
    <row r="20" ht="18.9" customHeight="1" s="150">
      <c r="A20" s="68" t="n"/>
      <c r="K20" s="171" t="inlineStr">
        <is>
          <t>Tên vật tư, thiết bị</t>
        </is>
      </c>
      <c r="L20" s="71" t="inlineStr">
        <is>
          <t>BẢNG TÍNH DIỆN TÍCH</t>
        </is>
      </c>
      <c r="W20" s="73" t="inlineStr">
        <is>
          <t>BẢNG TÍNH GIÁ TRỊ</t>
        </is>
      </c>
      <c r="X20" s="172" t="n"/>
    </row>
    <row r="21" ht="18.3" customHeight="1" s="150">
      <c r="A21" s="75" t="inlineStr">
        <is>
          <t>STT</t>
        </is>
      </c>
      <c r="B21" s="76" t="inlineStr">
        <is>
          <t>Tên vật tư, thiết bị</t>
        </is>
      </c>
      <c r="C21" s="76" t="inlineStr">
        <is>
          <t xml:space="preserve">Vật liệu chế tạo </t>
        </is>
      </c>
      <c r="D21" s="76" t="inlineStr">
        <is>
          <t xml:space="preserve">Xuất Xứ </t>
        </is>
      </c>
      <c r="E21" s="76" t="inlineStr">
        <is>
          <t>Đơn vị</t>
        </is>
      </c>
      <c r="F21" s="77" t="inlineStr">
        <is>
          <t>Khối lượng</t>
        </is>
      </c>
      <c r="G21" s="77" t="inlineStr">
        <is>
          <t xml:space="preserve">Đơn giá </t>
        </is>
      </c>
      <c r="H21" s="77" t="inlineStr">
        <is>
          <t xml:space="preserve">Thành tiền </t>
        </is>
      </c>
      <c r="I21" s="78" t="inlineStr">
        <is>
          <t>Ghi chú</t>
        </is>
      </c>
      <c r="K21" s="173" t="n"/>
      <c r="L21" s="80" t="inlineStr">
        <is>
          <t>Mã SP</t>
        </is>
      </c>
      <c r="M21" s="81" t="inlineStr">
        <is>
          <t>W1</t>
        </is>
      </c>
      <c r="N21" s="81" t="inlineStr">
        <is>
          <t>H1</t>
        </is>
      </c>
      <c r="O21" s="81" t="inlineStr">
        <is>
          <t>W2</t>
        </is>
      </c>
      <c r="P21" s="81" t="inlineStr">
        <is>
          <t>H2</t>
        </is>
      </c>
      <c r="Q21" s="81" t="inlineStr">
        <is>
          <t>W3</t>
        </is>
      </c>
      <c r="R21" s="81" t="inlineStr">
        <is>
          <t>H3</t>
        </is>
      </c>
      <c r="S21" s="81" t="inlineStr">
        <is>
          <t>L/H</t>
        </is>
      </c>
      <c r="T21" s="81" t="inlineStr">
        <is>
          <t>R/D</t>
        </is>
      </c>
      <c r="U21" s="81" t="inlineStr">
        <is>
          <t>E</t>
        </is>
      </c>
      <c r="V21" s="82" t="inlineStr">
        <is>
          <t xml:space="preserve">DIỆN TÍCH /CÁI </t>
        </is>
      </c>
      <c r="W21" s="83" t="inlineStr">
        <is>
          <t>Giá tôn</t>
        </is>
      </c>
      <c r="X21" s="84" t="inlineStr">
        <is>
          <t>hệ số</t>
        </is>
      </c>
    </row>
    <row r="22" ht="16.8" customHeight="1" s="150">
      <c r="A22" s="174" t="n"/>
      <c r="B22" s="175" t="n"/>
      <c r="C22" s="175" t="n"/>
      <c r="D22" s="175" t="n"/>
      <c r="E22" s="175" t="n"/>
      <c r="F22" s="175" t="n"/>
      <c r="G22" s="89" t="inlineStr">
        <is>
          <t xml:space="preserve">Vật tư </t>
        </is>
      </c>
      <c r="H22" s="89" t="inlineStr">
        <is>
          <t>Vật tư</t>
        </is>
      </c>
      <c r="I22" s="176" t="n"/>
      <c r="K22" s="177" t="n"/>
      <c r="L22" s="92" t="n"/>
      <c r="M22" s="92" t="n"/>
      <c r="N22" s="92" t="n"/>
      <c r="O22" s="92" t="n"/>
      <c r="P22" s="92" t="n"/>
      <c r="Q22" s="92" t="n"/>
      <c r="R22" s="92" t="n"/>
      <c r="S22" s="92" t="n"/>
      <c r="T22" s="92" t="n"/>
      <c r="U22" s="92" t="n"/>
      <c r="V22" s="178">
        <f>(IF(OR(L22="t",L22="TA",),(M22+N22)*2/1000*S22/1000,(IF(OR(L22="F",L22="M"),(M22*N22),IF(L22="d",(M22+N22+U22/1/2)*2*S22,IF(L22="tb",((M22+N22)*2*S22+M22*N22),IF(OR(L22="g",L22="n"),((M22+O22)*SQRT((S22)^2+((N22-P22)/2)^2)+(N22+P22)*SQRT((S22)^2+((M22-O22)/2)^2)),IF(LEFT(L22,1)="c",(2*(PI()*((M22+T22)^2-T22^2)+N22*(PI()*(M22+T22)+PI()*T22))*(U22/360)),IF(LEFT(L22,2)="vt",((M22+O22)*SQRT((S22)^2+((N22-P22)/2)^2)+(N22+P22)*SQRT((S22)^2+((M22-O22)/2)^2)+((T22+200)^2-(T22/2)^2*3.14)),IF(L22="tt",(2*(M22+N22)*(S22-1.5*O22)+(PI()*(3*O22+2/3*M22)*(O22+2/3*M22+P22+N22)-(P22+N22)*(PI()*1.5*O22))/8+(PI()*(3*Q22+2/3*M22)*(Q22+2/3*M22+R22+N22)-(R22+N22)*(PI()*1.5*Q22))/8),0))))))))/10^6))</f>
        <v/>
      </c>
      <c r="W22" s="179" t="n"/>
      <c r="X22" s="180" t="n"/>
    </row>
    <row r="23" ht="39.9" customHeight="1" s="150">
      <c r="A23" s="96" t="inlineStr">
        <is>
          <t>1</t>
        </is>
      </c>
      <c r="B23" s="97" t="inlineStr">
        <is>
          <t>Air duct 0.58mm tk
Ống gió dày 0.58mm</t>
        </is>
      </c>
      <c r="C23" s="149" t="inlineStr">
        <is>
          <t>Ton ma kem theo do day</t>
        </is>
      </c>
      <c r="D23" s="99" t="inlineStr">
        <is>
          <t>Kaiyo Viet Nam</t>
        </is>
      </c>
      <c r="E23" s="100" t="inlineStr">
        <is>
          <t>m2</t>
        </is>
      </c>
      <c r="F23" s="181" t="n">
        <v>1560</v>
      </c>
      <c r="G23" s="102" t="n"/>
      <c r="H23" s="102" t="n"/>
      <c r="I23" s="103" t="inlineStr">
        <is>
          <t>HỆ THỐNG DHKK</t>
        </is>
      </c>
      <c r="J23" s="182" t="n"/>
      <c r="K23" s="183" t="inlineStr">
        <is>
          <t>Air duct 0.58mm tk
Ống gió dày 0.58mm</t>
        </is>
      </c>
      <c r="L23" s="105" t="inlineStr">
        <is>
          <t>t</t>
        </is>
      </c>
      <c r="M23" s="105" t="n"/>
      <c r="N23" s="105" t="n"/>
      <c r="O23" s="34" t="n"/>
      <c r="P23" s="34" t="n"/>
      <c r="Q23" s="184" t="n"/>
      <c r="R23" s="107" t="n"/>
      <c r="S23" s="108" t="n">
        <v>1200</v>
      </c>
      <c r="T23" s="34" t="n"/>
      <c r="U23" s="34" t="n"/>
      <c r="V23" s="178" t="n">
        <v>1</v>
      </c>
      <c r="W23" s="179" t="n"/>
      <c r="X23" s="179" t="n"/>
    </row>
    <row r="24" ht="39.9" customHeight="1" s="150">
      <c r="A24" s="96" t="inlineStr">
        <is>
          <t>2</t>
        </is>
      </c>
      <c r="B24" s="97" t="inlineStr">
        <is>
          <t>Air duct 0.75mm tk
Ống gió dày 0.75mm</t>
        </is>
      </c>
      <c r="C24" s="149" t="inlineStr">
        <is>
          <t>Ton ma kem theo do day</t>
        </is>
      </c>
      <c r="D24" s="99" t="inlineStr">
        <is>
          <t>Kaiyo Viet Nam</t>
        </is>
      </c>
      <c r="E24" s="100" t="inlineStr">
        <is>
          <t>m2</t>
        </is>
      </c>
      <c r="F24" s="181" t="n">
        <v>325</v>
      </c>
      <c r="G24" s="102" t="n"/>
      <c r="H24" s="102" t="n"/>
      <c r="I24" s="103" t="inlineStr">
        <is>
          <t>HỆ THỐNG DHKK</t>
        </is>
      </c>
      <c r="J24" s="182" t="n"/>
      <c r="K24" s="183" t="inlineStr">
        <is>
          <t>Air duct 0.75mm tk
Ống gió dày 0.75mm</t>
        </is>
      </c>
      <c r="L24" s="105" t="inlineStr">
        <is>
          <t>t</t>
        </is>
      </c>
      <c r="M24" s="105" t="n"/>
      <c r="N24" s="105" t="n"/>
      <c r="O24" s="34" t="n"/>
      <c r="P24" s="34" t="n"/>
      <c r="Q24" s="184" t="n"/>
      <c r="R24" s="107" t="n"/>
      <c r="S24" s="108" t="n">
        <v>1200</v>
      </c>
      <c r="T24" s="34" t="n"/>
      <c r="U24" s="34" t="n"/>
      <c r="V24" s="178" t="n">
        <v>1</v>
      </c>
      <c r="W24" s="179" t="n"/>
      <c r="X24" s="179" t="n"/>
    </row>
    <row r="25" ht="39.9" customHeight="1" s="150">
      <c r="A25" s="96" t="inlineStr">
        <is>
          <t>3</t>
        </is>
      </c>
      <c r="B25" s="97" t="inlineStr">
        <is>
          <t>Ductwork insulation thick 25mm
Cách nhiệt ống gió dày 25mm</t>
        </is>
      </c>
      <c r="C25" s="149" t="inlineStr">
        <is>
          <t>Ton ma kem day 25 mm</t>
        </is>
      </c>
      <c r="D25" s="99" t="inlineStr">
        <is>
          <t>Kaiyo Viet Nam</t>
        </is>
      </c>
      <c r="E25" s="100" t="inlineStr">
        <is>
          <t>m2</t>
        </is>
      </c>
      <c r="F25" s="181" t="n">
        <v>388</v>
      </c>
      <c r="G25" s="102" t="n"/>
      <c r="H25" s="102" t="n"/>
      <c r="I25" s="103" t="inlineStr">
        <is>
          <t>HỆ THỐNG DHKK</t>
        </is>
      </c>
      <c r="J25" s="182" t="n"/>
      <c r="K25" s="183" t="inlineStr">
        <is>
          <t>Ductwork insulation thick 25mm
Cách nhiệt ống gió dày 25mm</t>
        </is>
      </c>
      <c r="L25" s="105" t="inlineStr"/>
      <c r="M25" s="105" t="n"/>
      <c r="N25" s="105" t="n"/>
      <c r="O25" s="34" t="n"/>
      <c r="P25" s="34" t="n"/>
      <c r="Q25" s="184" t="n"/>
      <c r="R25" s="107" t="n"/>
      <c r="S25" s="108" t="n">
        <v>1200</v>
      </c>
      <c r="T25" s="34" t="n"/>
      <c r="U25" s="34" t="n"/>
      <c r="V25" s="178" t="n">
        <v>1</v>
      </c>
      <c r="W25" s="179" t="n"/>
      <c r="X25" s="179" t="n"/>
    </row>
    <row r="26" ht="39.9" customHeight="1" s="150">
      <c r="A26" s="96" t="inlineStr">
        <is>
          <t>4</t>
        </is>
      </c>
      <c r="B26" s="97" t="inlineStr">
        <is>
          <t>Flexible air duct with insulation D200
Ống gió mềm kèm cách nhiệt D200</t>
        </is>
      </c>
      <c r="C26" s="149" t="inlineStr">
        <is>
          <t>Ton ma kem day 0.5 mm</t>
        </is>
      </c>
      <c r="D26" s="99" t="inlineStr">
        <is>
          <t>Kaiyo Viet Nam</t>
        </is>
      </c>
      <c r="E26" s="100" t="inlineStr">
        <is>
          <t>m</t>
        </is>
      </c>
      <c r="F26" s="181" t="n">
        <v>240</v>
      </c>
      <c r="G26" s="102" t="n"/>
      <c r="H26" s="102" t="n"/>
      <c r="I26" s="103" t="inlineStr">
        <is>
          <t>HỆ THỐNG DHKK</t>
        </is>
      </c>
      <c r="J26" s="182" t="n"/>
      <c r="K26" s="183" t="inlineStr">
        <is>
          <t>Flexible air duct with insulation D200
Ống gió mềm kèm cách nhiệt D200</t>
        </is>
      </c>
      <c r="L26" s="105" t="inlineStr"/>
      <c r="M26" s="105" t="n">
        <v>200</v>
      </c>
      <c r="N26" s="105" t="n">
        <v>200</v>
      </c>
      <c r="O26" s="34" t="n"/>
      <c r="P26" s="34" t="n"/>
      <c r="Q26" s="184" t="n"/>
      <c r="R26" s="107" t="n"/>
      <c r="S26" s="108" t="n">
        <v>1000</v>
      </c>
      <c r="T26" s="34" t="n">
        <v>200</v>
      </c>
      <c r="U26" s="34" t="n"/>
      <c r="V26" s="178" t="n">
        <v>0.6283</v>
      </c>
      <c r="W26" s="179" t="n"/>
      <c r="X26" s="179" t="n"/>
    </row>
    <row r="27" ht="39.9" customHeight="1" s="150">
      <c r="A27" s="96" t="inlineStr">
        <is>
          <t>5</t>
        </is>
      </c>
      <c r="B27" s="97" t="inlineStr">
        <is>
          <t>Flexible air duct without insulation D100
Ống gió mềm không cách nhiệt D100</t>
        </is>
      </c>
      <c r="C27" s="149" t="inlineStr">
        <is>
          <t>Ton ma kem day 0.5 mm</t>
        </is>
      </c>
      <c r="D27" s="99" t="inlineStr">
        <is>
          <t>Kaiyo Viet Nam</t>
        </is>
      </c>
      <c r="E27" s="100" t="inlineStr">
        <is>
          <t>m</t>
        </is>
      </c>
      <c r="F27" s="181" t="n">
        <v>8</v>
      </c>
      <c r="G27" s="102" t="n"/>
      <c r="H27" s="102" t="n"/>
      <c r="I27" s="103" t="inlineStr">
        <is>
          <t>HỆ THỐNG DHKK</t>
        </is>
      </c>
      <c r="J27" s="182" t="n"/>
      <c r="K27" s="183" t="inlineStr">
        <is>
          <t>Flexible air duct without insulation D100
Ống gió mềm không cách nhiệt D100</t>
        </is>
      </c>
      <c r="L27" s="105" t="inlineStr"/>
      <c r="M27" s="105" t="n">
        <v>100</v>
      </c>
      <c r="N27" s="105" t="n">
        <v>100</v>
      </c>
      <c r="O27" s="34" t="n"/>
      <c r="P27" s="34" t="n"/>
      <c r="Q27" s="184" t="n"/>
      <c r="R27" s="107" t="n"/>
      <c r="S27" s="108" t="n">
        <v>1000</v>
      </c>
      <c r="T27" s="34" t="n">
        <v>100</v>
      </c>
      <c r="U27" s="34" t="n"/>
      <c r="V27" s="178" t="n">
        <v>0.3142</v>
      </c>
      <c r="W27" s="179" t="n"/>
      <c r="X27" s="179" t="n"/>
    </row>
    <row r="28" ht="39.9" customHeight="1" s="150">
      <c r="A28" s="96" t="inlineStr">
        <is>
          <t>6</t>
        </is>
      </c>
      <c r="B28" s="97" t="inlineStr">
        <is>
          <t>Flexible air duct without insulation D150
Ống gió mềm không cách nhiệt D150</t>
        </is>
      </c>
      <c r="C28" s="149" t="inlineStr">
        <is>
          <t>Ton ma kem day 0.5 mm</t>
        </is>
      </c>
      <c r="D28" s="99" t="inlineStr">
        <is>
          <t>Kaiyo Viet Nam</t>
        </is>
      </c>
      <c r="E28" s="100" t="inlineStr">
        <is>
          <t>m</t>
        </is>
      </c>
      <c r="F28" s="181" t="n">
        <v>532</v>
      </c>
      <c r="G28" s="102" t="n"/>
      <c r="H28" s="102" t="n"/>
      <c r="I28" s="103" t="inlineStr">
        <is>
          <t>HỆ THỐNG DHKK</t>
        </is>
      </c>
      <c r="J28" s="182" t="n"/>
      <c r="K28" s="183" t="inlineStr">
        <is>
          <t>Flexible air duct without insulation D150
Ống gió mềm không cách nhiệt D150</t>
        </is>
      </c>
      <c r="L28" s="105" t="inlineStr"/>
      <c r="M28" s="105" t="n">
        <v>150</v>
      </c>
      <c r="N28" s="105" t="n">
        <v>150</v>
      </c>
      <c r="O28" s="34" t="n"/>
      <c r="P28" s="34" t="n"/>
      <c r="Q28" s="184" t="n"/>
      <c r="R28" s="107" t="n"/>
      <c r="S28" s="108" t="n">
        <v>1000</v>
      </c>
      <c r="T28" s="34" t="n">
        <v>150</v>
      </c>
      <c r="U28" s="34" t="n"/>
      <c r="V28" s="178" t="n">
        <v>0.4712</v>
      </c>
      <c r="W28" s="179" t="n"/>
      <c r="X28" s="179" t="n"/>
    </row>
    <row r="29" ht="39.9" customHeight="1" s="150">
      <c r="A29" s="96" t="inlineStr">
        <is>
          <t>7</t>
        </is>
      </c>
      <c r="B29" s="97" t="inlineStr">
        <is>
          <t>Flexible air duct without insulation D200
Ống gió mềm không cách nhiệt D200</t>
        </is>
      </c>
      <c r="C29" s="149" t="inlineStr">
        <is>
          <t>Ton ma kem day 0.5 mm</t>
        </is>
      </c>
      <c r="D29" s="99" t="inlineStr">
        <is>
          <t>Kaiyo Viet Nam</t>
        </is>
      </c>
      <c r="E29" s="100" t="inlineStr">
        <is>
          <t>m</t>
        </is>
      </c>
      <c r="F29" s="181" t="n">
        <v>108</v>
      </c>
      <c r="G29" s="102" t="n"/>
      <c r="H29" s="102" t="n"/>
      <c r="I29" s="103" t="inlineStr">
        <is>
          <t>HỆ THỐNG DHKK</t>
        </is>
      </c>
      <c r="J29" s="182" t="n"/>
      <c r="K29" s="183" t="inlineStr">
        <is>
          <t>Flexible air duct without insulation D200
Ống gió mềm không cách nhiệt D200</t>
        </is>
      </c>
      <c r="L29" s="105" t="inlineStr"/>
      <c r="M29" s="105" t="n">
        <v>200</v>
      </c>
      <c r="N29" s="105" t="n">
        <v>200</v>
      </c>
      <c r="O29" s="34" t="n"/>
      <c r="P29" s="34" t="n"/>
      <c r="Q29" s="184" t="n"/>
      <c r="R29" s="107" t="n"/>
      <c r="S29" s="108" t="n">
        <v>1000</v>
      </c>
      <c r="T29" s="34" t="n">
        <v>200</v>
      </c>
      <c r="U29" s="34" t="n"/>
      <c r="V29" s="178" t="n">
        <v>0.6283</v>
      </c>
      <c r="W29" s="179" t="n"/>
      <c r="X29" s="179" t="n"/>
    </row>
    <row r="30" ht="39.9" customHeight="1" s="150">
      <c r="A30" s="96" t="inlineStr">
        <is>
          <t>8</t>
        </is>
      </c>
      <c r="B30" s="97" t="inlineStr">
        <is>
          <t>Supply and Return Air Plenum Box for Indoor Unit
Box gió cấp và hồi dàn lạnh</t>
        </is>
      </c>
      <c r="C30" s="149" t="inlineStr">
        <is>
          <t>Ton ma kem theo do day</t>
        </is>
      </c>
      <c r="D30" s="99" t="inlineStr">
        <is>
          <t>Kaiyo Viet Nam</t>
        </is>
      </c>
      <c r="E30" s="100" t="inlineStr">
        <is>
          <t>set</t>
        </is>
      </c>
      <c r="F30" s="181" t="n">
        <v>18</v>
      </c>
      <c r="G30" s="102" t="n"/>
      <c r="H30" s="102" t="n"/>
      <c r="I30" s="103" t="inlineStr">
        <is>
          <t>HỆ THỐNG DHKK</t>
        </is>
      </c>
      <c r="J30" s="182" t="n"/>
      <c r="K30" s="183" t="inlineStr">
        <is>
          <t>Supply and Return Air Plenum Box for Indoor Unit
Box gió cấp và hồi dàn lạnh</t>
        </is>
      </c>
      <c r="L30" s="105" t="inlineStr">
        <is>
          <t>tb</t>
        </is>
      </c>
      <c r="M30" s="105" t="n"/>
      <c r="N30" s="105" t="n"/>
      <c r="O30" s="34" t="n"/>
      <c r="P30" s="34" t="n"/>
      <c r="Q30" s="184" t="n"/>
      <c r="R30" s="107" t="n"/>
      <c r="S30" s="108" t="n">
        <v>1200</v>
      </c>
      <c r="T30" s="34" t="n"/>
      <c r="U30" s="34" t="n"/>
      <c r="V30" s="178" t="n">
        <v>1</v>
      </c>
      <c r="W30" s="179" t="n"/>
      <c r="X30" s="179" t="n"/>
    </row>
    <row r="31" ht="39.9" customHeight="1" s="150">
      <c r="A31" s="96" t="inlineStr">
        <is>
          <t>9</t>
        </is>
      </c>
      <c r="B31" s="97" t="inlineStr">
        <is>
          <t>Supply air grill with box 1200x150
Miệng gió cấp kèm box 1200x150</t>
        </is>
      </c>
      <c r="C31" s="149" t="inlineStr">
        <is>
          <t>Nhom son tinh dien</t>
        </is>
      </c>
      <c r="D31" s="99" t="inlineStr">
        <is>
          <t>Kaiyo Viet Nam</t>
        </is>
      </c>
      <c r="E31" s="100" t="inlineStr">
        <is>
          <t>set</t>
        </is>
      </c>
      <c r="F31" s="181" t="n">
        <v>15</v>
      </c>
      <c r="G31" s="102" t="n"/>
      <c r="H31" s="102" t="n"/>
      <c r="I31" s="103" t="inlineStr">
        <is>
          <t>HỆ THỐNG DHKK</t>
        </is>
      </c>
      <c r="J31" s="182" t="n"/>
      <c r="K31" s="183" t="inlineStr">
        <is>
          <t>Supply air grill with box 1200x150
Miệng gió cấp kèm box 1200x150</t>
        </is>
      </c>
      <c r="L31" s="105" t="inlineStr">
        <is>
          <t>c</t>
        </is>
      </c>
      <c r="M31" s="105" t="n">
        <v>1200</v>
      </c>
      <c r="N31" s="105" t="n">
        <v>150</v>
      </c>
      <c r="O31" s="34" t="n"/>
      <c r="P31" s="34" t="n"/>
      <c r="Q31" s="184" t="n"/>
      <c r="R31" s="107" t="n"/>
      <c r="S31" s="108" t="n">
        <v>1200</v>
      </c>
      <c r="T31" s="34" t="n">
        <v>600</v>
      </c>
      <c r="U31" s="34" t="n">
        <v>90</v>
      </c>
      <c r="V31" s="178" t="n">
        <v>5.0894</v>
      </c>
      <c r="W31" s="179" t="n"/>
      <c r="X31" s="179" t="n"/>
    </row>
    <row r="32" ht="39.9" customHeight="1" s="150">
      <c r="A32" s="96" t="inlineStr">
        <is>
          <t>10</t>
        </is>
      </c>
      <c r="B32" s="97" t="inlineStr">
        <is>
          <t>Return air grill with box 1200x150
Miệng gió hồi kèm box 1200x150</t>
        </is>
      </c>
      <c r="C32" s="149" t="inlineStr">
        <is>
          <t>Nhom son tinh dien</t>
        </is>
      </c>
      <c r="D32" s="99" t="inlineStr">
        <is>
          <t>Kaiyo Viet Nam</t>
        </is>
      </c>
      <c r="E32" s="100" t="inlineStr">
        <is>
          <t>set</t>
        </is>
      </c>
      <c r="F32" s="181" t="n">
        <v>15</v>
      </c>
      <c r="G32" s="102" t="n"/>
      <c r="H32" s="102" t="n"/>
      <c r="I32" s="103" t="inlineStr">
        <is>
          <t>HỆ THỐNG DHKK</t>
        </is>
      </c>
      <c r="J32" s="182" t="n"/>
      <c r="K32" s="183" t="inlineStr">
        <is>
          <t>Return air grill with box 1200x150
Miệng gió hồi kèm box 1200x150</t>
        </is>
      </c>
      <c r="L32" s="105" t="inlineStr">
        <is>
          <t>c</t>
        </is>
      </c>
      <c r="M32" s="105" t="n">
        <v>1200</v>
      </c>
      <c r="N32" s="105" t="n">
        <v>150</v>
      </c>
      <c r="O32" s="34" t="n"/>
      <c r="P32" s="34" t="n"/>
      <c r="Q32" s="184" t="n"/>
      <c r="R32" s="107" t="n"/>
      <c r="S32" s="108" t="n">
        <v>1200</v>
      </c>
      <c r="T32" s="34" t="n">
        <v>600</v>
      </c>
      <c r="U32" s="34" t="n">
        <v>90</v>
      </c>
      <c r="V32" s="178" t="n">
        <v>5.0894</v>
      </c>
      <c r="W32" s="179" t="n"/>
      <c r="X32" s="179" t="n"/>
    </row>
    <row r="33" ht="39.9" customHeight="1" s="150">
      <c r="A33" s="96" t="inlineStr">
        <is>
          <t>1</t>
        </is>
      </c>
      <c r="B33" s="97" t="inlineStr">
        <is>
          <t>EAG 300x300</t>
        </is>
      </c>
      <c r="C33" s="149" t="inlineStr">
        <is>
          <t>Nhom son tinh dien</t>
        </is>
      </c>
      <c r="D33" s="99" t="inlineStr">
        <is>
          <t>Kaiyo Viet Nam</t>
        </is>
      </c>
      <c r="E33" s="100" t="inlineStr">
        <is>
          <t>set</t>
        </is>
      </c>
      <c r="F33" s="181" t="n">
        <v>210</v>
      </c>
      <c r="G33" s="102" t="n"/>
      <c r="H33" s="102" t="n"/>
      <c r="I33" s="103" t="inlineStr">
        <is>
          <t>HỆ THỐNG THÔNG GIÓ</t>
        </is>
      </c>
      <c r="J33" s="182" t="n"/>
      <c r="K33" s="183" t="inlineStr">
        <is>
          <t>EAG 300x300</t>
        </is>
      </c>
      <c r="L33" s="105" t="inlineStr">
        <is>
          <t>c</t>
        </is>
      </c>
      <c r="M33" s="105" t="n">
        <v>300</v>
      </c>
      <c r="N33" s="105" t="n">
        <v>300</v>
      </c>
      <c r="O33" s="34" t="n"/>
      <c r="P33" s="34" t="n"/>
      <c r="Q33" s="184" t="n"/>
      <c r="R33" s="107" t="n"/>
      <c r="S33" s="108" t="n">
        <v>1200</v>
      </c>
      <c r="T33" s="34" t="n">
        <v>150</v>
      </c>
      <c r="U33" s="34" t="n">
        <v>90</v>
      </c>
      <c r="V33" s="178" t="n">
        <v>0.5655</v>
      </c>
      <c r="W33" s="179" t="n"/>
      <c r="X33" s="179" t="n"/>
    </row>
    <row r="34" ht="39.9" customHeight="1" s="150">
      <c r="A34" s="96" t="inlineStr">
        <is>
          <t>2</t>
        </is>
      </c>
      <c r="B34" s="97" t="inlineStr">
        <is>
          <t>Ventcap D250</t>
        </is>
      </c>
      <c r="C34" s="149" t="inlineStr">
        <is>
          <t>Nhom son tinh dien</t>
        </is>
      </c>
      <c r="D34" s="99" t="inlineStr">
        <is>
          <t>Kaiyo Viet Nam</t>
        </is>
      </c>
      <c r="E34" s="100" t="inlineStr">
        <is>
          <t>set</t>
        </is>
      </c>
      <c r="F34" s="181" t="n">
        <v>129</v>
      </c>
      <c r="G34" s="102" t="n"/>
      <c r="H34" s="102" t="n"/>
      <c r="I34" s="103" t="inlineStr">
        <is>
          <t>HỆ THỐNG THÔNG GIÓ</t>
        </is>
      </c>
      <c r="J34" s="182" t="n"/>
      <c r="K34" s="183" t="inlineStr">
        <is>
          <t>Ventcap D250</t>
        </is>
      </c>
      <c r="L34" s="105" t="inlineStr">
        <is>
          <t>c</t>
        </is>
      </c>
      <c r="M34" s="105" t="n">
        <v>250</v>
      </c>
      <c r="N34" s="105" t="n">
        <v>250</v>
      </c>
      <c r="O34" s="34" t="n"/>
      <c r="P34" s="34" t="n"/>
      <c r="Q34" s="184" t="n"/>
      <c r="R34" s="107" t="n"/>
      <c r="S34" s="108" t="n">
        <v>1200</v>
      </c>
      <c r="T34" s="34" t="n">
        <v>125</v>
      </c>
      <c r="U34" s="34" t="n">
        <v>90</v>
      </c>
      <c r="V34" s="178" t="n">
        <v>0.3927</v>
      </c>
      <c r="W34" s="179" t="n"/>
      <c r="X34" s="179" t="n"/>
    </row>
    <row r="35" ht="39.9" customHeight="1" s="150">
      <c r="A35" s="96" t="inlineStr">
        <is>
          <t>3</t>
        </is>
      </c>
      <c r="B35" s="97" t="inlineStr">
        <is>
          <t>Insect screen/ LCCT 200x250</t>
        </is>
      </c>
      <c r="C35" s="149" t="inlineStr">
        <is>
          <t>Ton ma kem day 200 mm</t>
        </is>
      </c>
      <c r="D35" s="99" t="inlineStr">
        <is>
          <t>Kaiyo Viet Nam</t>
        </is>
      </c>
      <c r="E35" s="100" t="inlineStr">
        <is>
          <t>set</t>
        </is>
      </c>
      <c r="F35" s="181" t="n">
        <v>25</v>
      </c>
      <c r="G35" s="102" t="n"/>
      <c r="H35" s="102" t="n"/>
      <c r="I35" s="103" t="inlineStr">
        <is>
          <t>HỆ THỐNG THÔNG GIÓ</t>
        </is>
      </c>
      <c r="J35" s="182" t="n"/>
      <c r="K35" s="183" t="inlineStr">
        <is>
          <t>Insect screen/ LCCT 200x250</t>
        </is>
      </c>
      <c r="L35" s="105" t="inlineStr"/>
      <c r="M35" s="105" t="n">
        <v>200</v>
      </c>
      <c r="N35" s="105" t="n">
        <v>250</v>
      </c>
      <c r="O35" s="34" t="n"/>
      <c r="P35" s="34" t="n"/>
      <c r="Q35" s="184" t="n"/>
      <c r="R35" s="107" t="n"/>
      <c r="S35" s="108" t="n">
        <v>1200</v>
      </c>
      <c r="T35" s="34" t="n"/>
      <c r="U35" s="34" t="n"/>
      <c r="V35" s="178" t="n">
        <v>1.08</v>
      </c>
      <c r="W35" s="179" t="n"/>
      <c r="X35" s="179" t="n"/>
    </row>
    <row r="36" ht="39.9" customHeight="1" s="150">
      <c r="A36" s="96" t="inlineStr">
        <is>
          <t>4</t>
        </is>
      </c>
      <c r="B36" s="97" t="inlineStr">
        <is>
          <t>Insect screen/ LCCT 300x200</t>
        </is>
      </c>
      <c r="C36" s="149" t="inlineStr">
        <is>
          <t>Ton ma kem day 300 mm</t>
        </is>
      </c>
      <c r="D36" s="99" t="inlineStr">
        <is>
          <t>Kaiyo Viet Nam</t>
        </is>
      </c>
      <c r="E36" s="100" t="inlineStr">
        <is>
          <t>set</t>
        </is>
      </c>
      <c r="F36" s="181" t="n">
        <v>25</v>
      </c>
      <c r="G36" s="102" t="n"/>
      <c r="H36" s="102" t="n"/>
      <c r="I36" s="103" t="inlineStr">
        <is>
          <t>HỆ THỐNG THÔNG GIÓ</t>
        </is>
      </c>
      <c r="J36" s="182" t="n"/>
      <c r="K36" s="183" t="inlineStr">
        <is>
          <t>Insect screen/ LCCT 300x200</t>
        </is>
      </c>
      <c r="L36" s="105" t="inlineStr"/>
      <c r="M36" s="105" t="n">
        <v>300</v>
      </c>
      <c r="N36" s="105" t="n">
        <v>200</v>
      </c>
      <c r="O36" s="34" t="n"/>
      <c r="P36" s="34" t="n"/>
      <c r="Q36" s="184" t="n"/>
      <c r="R36" s="107" t="n"/>
      <c r="S36" s="108" t="n">
        <v>1200</v>
      </c>
      <c r="T36" s="34" t="n"/>
      <c r="U36" s="34" t="n"/>
      <c r="V36" s="178" t="n">
        <v>1.2</v>
      </c>
      <c r="W36" s="179" t="n"/>
      <c r="X36" s="179" t="n"/>
    </row>
    <row r="37" ht="39.9" customHeight="1" s="150">
      <c r="A37" s="96" t="inlineStr">
        <is>
          <t>5</t>
        </is>
      </c>
      <c r="B37" s="97" t="inlineStr">
        <is>
          <t>G4 Filter/ Lọc G4</t>
        </is>
      </c>
      <c r="C37" s="149" t="inlineStr">
        <is>
          <t>Ton ma kem day 0.5 mm</t>
        </is>
      </c>
      <c r="D37" s="99" t="inlineStr">
        <is>
          <t>Kaiyo Viet Nam</t>
        </is>
      </c>
      <c r="E37" s="100" t="inlineStr">
        <is>
          <t>set</t>
        </is>
      </c>
      <c r="F37" s="181" t="n">
        <v>53</v>
      </c>
      <c r="G37" s="102" t="n"/>
      <c r="H37" s="102" t="n"/>
      <c r="I37" s="103" t="inlineStr">
        <is>
          <t>HỆ THỐNG THÔNG GIÓ</t>
        </is>
      </c>
      <c r="J37" s="182" t="n"/>
      <c r="K37" s="183" t="inlineStr">
        <is>
          <t>G4 Filter/ Lọc G4</t>
        </is>
      </c>
      <c r="L37" s="105" t="inlineStr"/>
      <c r="M37" s="105" t="n"/>
      <c r="N37" s="105" t="n"/>
      <c r="O37" s="34" t="n"/>
      <c r="P37" s="34" t="n"/>
      <c r="Q37" s="184" t="n"/>
      <c r="R37" s="107" t="n"/>
      <c r="S37" s="108" t="n">
        <v>1200</v>
      </c>
      <c r="T37" s="34" t="n"/>
      <c r="U37" s="34" t="n"/>
      <c r="V37" s="178" t="n">
        <v>1</v>
      </c>
      <c r="W37" s="179" t="n"/>
      <c r="X37" s="179" t="n"/>
    </row>
    <row r="38" ht="39.9" customHeight="1" s="150">
      <c r="A38" s="96" t="inlineStr">
        <is>
          <t>6</t>
        </is>
      </c>
      <c r="B38" s="97" t="inlineStr">
        <is>
          <t>NRD D150</t>
        </is>
      </c>
      <c r="C38" s="149" t="inlineStr">
        <is>
          <t>Thep ma kem</t>
        </is>
      </c>
      <c r="D38" s="99" t="inlineStr">
        <is>
          <t>Kaiyo Viet Nam</t>
        </is>
      </c>
      <c r="E38" s="100" t="inlineStr">
        <is>
          <t>set</t>
        </is>
      </c>
      <c r="F38" s="181" t="n">
        <v>126</v>
      </c>
      <c r="G38" s="102" t="n"/>
      <c r="H38" s="102" t="n"/>
      <c r="I38" s="103" t="inlineStr">
        <is>
          <t>HỆ THỐNG THÔNG GIÓ</t>
        </is>
      </c>
      <c r="J38" s="182" t="n"/>
      <c r="K38" s="183" t="inlineStr">
        <is>
          <t>NRD D150</t>
        </is>
      </c>
      <c r="L38" s="105" t="inlineStr">
        <is>
          <t>nrd</t>
        </is>
      </c>
      <c r="M38" s="105" t="n">
        <v>150</v>
      </c>
      <c r="N38" s="105" t="n">
        <v>150</v>
      </c>
      <c r="O38" s="34" t="n"/>
      <c r="P38" s="34" t="n"/>
      <c r="Q38" s="184" t="n"/>
      <c r="R38" s="107" t="n"/>
      <c r="S38" s="108" t="n">
        <v>200</v>
      </c>
      <c r="T38" s="34" t="n">
        <v>150</v>
      </c>
      <c r="U38" s="34" t="n"/>
      <c r="V38" s="178" t="n">
        <v>0.1119</v>
      </c>
      <c r="W38" s="179" t="n"/>
      <c r="X38" s="179" t="n"/>
    </row>
    <row r="39" ht="39.9" customHeight="1" s="150">
      <c r="A39" s="96" t="inlineStr">
        <is>
          <t>7</t>
        </is>
      </c>
      <c r="B39" s="97" t="inlineStr">
        <is>
          <t>NRD 200x200</t>
        </is>
      </c>
      <c r="C39" s="149" t="inlineStr">
        <is>
          <t>Thep ma kem</t>
        </is>
      </c>
      <c r="D39" s="99" t="inlineStr">
        <is>
          <t>Kaiyo Viet Nam</t>
        </is>
      </c>
      <c r="E39" s="100" t="inlineStr">
        <is>
          <t>set</t>
        </is>
      </c>
      <c r="F39" s="181" t="n">
        <v>29</v>
      </c>
      <c r="G39" s="102" t="n"/>
      <c r="H39" s="102" t="n"/>
      <c r="I39" s="103" t="inlineStr">
        <is>
          <t>HỆ THỐNG THÔNG GIÓ</t>
        </is>
      </c>
      <c r="J39" s="182" t="n"/>
      <c r="K39" s="183" t="inlineStr">
        <is>
          <t>NRD 200x200</t>
        </is>
      </c>
      <c r="L39" s="105" t="inlineStr">
        <is>
          <t>nrd</t>
        </is>
      </c>
      <c r="M39" s="105" t="n">
        <v>200</v>
      </c>
      <c r="N39" s="105" t="n">
        <v>200</v>
      </c>
      <c r="O39" s="34" t="n"/>
      <c r="P39" s="34" t="n"/>
      <c r="Q39" s="184" t="n"/>
      <c r="R39" s="107" t="n"/>
      <c r="S39" s="108" t="n">
        <v>200</v>
      </c>
      <c r="T39" s="34" t="n"/>
      <c r="U39" s="34" t="n"/>
      <c r="V39" s="178" t="n">
        <v>0.2</v>
      </c>
      <c r="W39" s="179" t="n"/>
      <c r="X39" s="179" t="n"/>
    </row>
    <row r="40" ht="39.9" customHeight="1" s="150">
      <c r="A40" s="96" t="inlineStr">
        <is>
          <t>8</t>
        </is>
      </c>
      <c r="B40" s="97" t="inlineStr">
        <is>
          <t>NRD 250x200</t>
        </is>
      </c>
      <c r="C40" s="149" t="inlineStr">
        <is>
          <t>Thep ma kem</t>
        </is>
      </c>
      <c r="D40" s="99" t="inlineStr">
        <is>
          <t>Kaiyo Viet Nam</t>
        </is>
      </c>
      <c r="E40" s="100" t="inlineStr">
        <is>
          <t>set</t>
        </is>
      </c>
      <c r="F40" s="181" t="n">
        <v>25</v>
      </c>
      <c r="G40" s="102" t="n"/>
      <c r="H40" s="102" t="n"/>
      <c r="I40" s="103" t="inlineStr">
        <is>
          <t>HỆ THỐNG THÔNG GIÓ</t>
        </is>
      </c>
      <c r="J40" s="182" t="n"/>
      <c r="K40" s="183" t="inlineStr">
        <is>
          <t>NRD 250x200</t>
        </is>
      </c>
      <c r="L40" s="105" t="inlineStr">
        <is>
          <t>nrd</t>
        </is>
      </c>
      <c r="M40" s="105" t="n">
        <v>250</v>
      </c>
      <c r="N40" s="105" t="n">
        <v>200</v>
      </c>
      <c r="O40" s="34" t="n"/>
      <c r="P40" s="34" t="n"/>
      <c r="Q40" s="184" t="n"/>
      <c r="R40" s="107" t="n"/>
      <c r="S40" s="108" t="n">
        <v>200</v>
      </c>
      <c r="T40" s="34" t="n"/>
      <c r="U40" s="34" t="n"/>
      <c r="V40" s="178" t="n">
        <v>0.23</v>
      </c>
      <c r="W40" s="179" t="n"/>
      <c r="X40" s="179" t="n"/>
    </row>
    <row r="41" ht="39.9" customHeight="1" s="150">
      <c r="A41" s="96" t="inlineStr">
        <is>
          <t>9</t>
        </is>
      </c>
      <c r="B41" s="97" t="inlineStr">
        <is>
          <t>VCD D150</t>
        </is>
      </c>
      <c r="C41" s="149" t="inlineStr">
        <is>
          <t>Thep ma kem</t>
        </is>
      </c>
      <c r="D41" s="99" t="inlineStr">
        <is>
          <t>Kaiyo Viet Nam</t>
        </is>
      </c>
      <c r="E41" s="100" t="inlineStr">
        <is>
          <t>set</t>
        </is>
      </c>
      <c r="F41" s="181" t="n">
        <v>105</v>
      </c>
      <c r="G41" s="102" t="n"/>
      <c r="H41" s="102" t="n"/>
      <c r="I41" s="103" t="inlineStr">
        <is>
          <t>HỆ THỐNG THÔNG GIÓ</t>
        </is>
      </c>
      <c r="J41" s="182" t="n"/>
      <c r="K41" s="183" t="inlineStr">
        <is>
          <t>VCD D150</t>
        </is>
      </c>
      <c r="L41" s="105" t="inlineStr">
        <is>
          <t>vcd</t>
        </is>
      </c>
      <c r="M41" s="105" t="n">
        <v>150</v>
      </c>
      <c r="N41" s="105" t="n">
        <v>150</v>
      </c>
      <c r="O41" s="34" t="n"/>
      <c r="P41" s="34" t="n"/>
      <c r="Q41" s="184" t="n"/>
      <c r="R41" s="107" t="n"/>
      <c r="S41" s="108" t="n">
        <v>200</v>
      </c>
      <c r="T41" s="34" t="n">
        <v>150</v>
      </c>
      <c r="U41" s="34" t="n"/>
      <c r="V41" s="178" t="n">
        <v>0.1119</v>
      </c>
      <c r="W41" s="179" t="n"/>
      <c r="X41" s="179" t="n"/>
    </row>
    <row r="42" ht="39.9" customHeight="1" s="150">
      <c r="A42" s="96" t="inlineStr">
        <is>
          <t>10</t>
        </is>
      </c>
      <c r="B42" s="97" t="inlineStr">
        <is>
          <t>EAG 600x600</t>
        </is>
      </c>
      <c r="C42" s="149" t="inlineStr">
        <is>
          <t>Nhom son tinh dien</t>
        </is>
      </c>
      <c r="D42" s="99" t="inlineStr">
        <is>
          <t>Kaiyo Viet Nam</t>
        </is>
      </c>
      <c r="E42" s="100" t="inlineStr">
        <is>
          <t>set</t>
        </is>
      </c>
      <c r="F42" s="181" t="n">
        <v>2</v>
      </c>
      <c r="G42" s="102" t="n"/>
      <c r="H42" s="102" t="n"/>
      <c r="I42" s="103" t="inlineStr">
        <is>
          <t>HỆ THỐNG THÔNG GIÓ</t>
        </is>
      </c>
      <c r="J42" s="182" t="n"/>
      <c r="K42" s="183" t="inlineStr">
        <is>
          <t>EAG 600x600</t>
        </is>
      </c>
      <c r="L42" s="105" t="inlineStr">
        <is>
          <t>c</t>
        </is>
      </c>
      <c r="M42" s="105" t="n">
        <v>600</v>
      </c>
      <c r="N42" s="105" t="n">
        <v>600</v>
      </c>
      <c r="O42" s="34" t="n"/>
      <c r="P42" s="34" t="n"/>
      <c r="Q42" s="184" t="n"/>
      <c r="R42" s="107" t="n"/>
      <c r="S42" s="108" t="n">
        <v>1200</v>
      </c>
      <c r="T42" s="34" t="n">
        <v>300</v>
      </c>
      <c r="U42" s="34" t="n">
        <v>90</v>
      </c>
      <c r="V42" s="178" t="n">
        <v>2.2619</v>
      </c>
      <c r="W42" s="179" t="n"/>
      <c r="X42" s="179" t="n"/>
    </row>
    <row r="43" ht="39.9" customHeight="1" s="150">
      <c r="A43" s="96" t="inlineStr">
        <is>
          <t>11</t>
        </is>
      </c>
      <c r="B43" s="97" t="inlineStr">
        <is>
          <t>FAG 600x600</t>
        </is>
      </c>
      <c r="C43" s="149" t="inlineStr">
        <is>
          <t>Ton ma kem theo do day</t>
        </is>
      </c>
      <c r="D43" s="99" t="inlineStr">
        <is>
          <t>Kaiyo Viet Nam</t>
        </is>
      </c>
      <c r="E43" s="100" t="inlineStr">
        <is>
          <t>set</t>
        </is>
      </c>
      <c r="F43" s="181" t="n">
        <v>1</v>
      </c>
      <c r="G43" s="102" t="n"/>
      <c r="H43" s="102" t="n"/>
      <c r="I43" s="103" t="inlineStr">
        <is>
          <t>HỆ THỐNG THÔNG GIÓ</t>
        </is>
      </c>
      <c r="J43" s="182" t="n"/>
      <c r="K43" s="183" t="inlineStr">
        <is>
          <t>FAG 600x600</t>
        </is>
      </c>
      <c r="L43" s="105" t="inlineStr">
        <is>
          <t>t</t>
        </is>
      </c>
      <c r="M43" s="105" t="n">
        <v>600</v>
      </c>
      <c r="N43" s="105" t="n">
        <v>600</v>
      </c>
      <c r="O43" s="34" t="n"/>
      <c r="P43" s="34" t="n"/>
      <c r="Q43" s="184" t="n"/>
      <c r="R43" s="107" t="n"/>
      <c r="S43" s="108" t="n">
        <v>1200</v>
      </c>
      <c r="T43" s="34" t="n"/>
      <c r="U43" s="34" t="n"/>
      <c r="V43" s="178" t="n">
        <v>2.88</v>
      </c>
      <c r="W43" s="179" t="n"/>
      <c r="X43" s="179" t="n"/>
    </row>
    <row r="44" ht="39.9" customHeight="1" s="150">
      <c r="A44" s="96" t="inlineStr">
        <is>
          <t>12</t>
        </is>
      </c>
      <c r="B44" s="97" t="inlineStr">
        <is>
          <t>EAL 400x200</t>
        </is>
      </c>
      <c r="C44" s="149" t="inlineStr">
        <is>
          <t>Nhom son tinh dien</t>
        </is>
      </c>
      <c r="D44" s="99" t="inlineStr">
        <is>
          <t>Kaiyo Viet Nam</t>
        </is>
      </c>
      <c r="E44" s="100" t="inlineStr">
        <is>
          <t>set</t>
        </is>
      </c>
      <c r="F44" s="181" t="n">
        <v>1</v>
      </c>
      <c r="G44" s="102" t="n"/>
      <c r="H44" s="102" t="n"/>
      <c r="I44" s="103" t="inlineStr">
        <is>
          <t>HỆ THỐNG THÔNG GIÓ</t>
        </is>
      </c>
      <c r="J44" s="182" t="n"/>
      <c r="K44" s="183" t="inlineStr">
        <is>
          <t>EAL 400x200</t>
        </is>
      </c>
      <c r="L44" s="105" t="inlineStr">
        <is>
          <t>c</t>
        </is>
      </c>
      <c r="M44" s="105" t="n">
        <v>400</v>
      </c>
      <c r="N44" s="105" t="n">
        <v>200</v>
      </c>
      <c r="O44" s="34" t="n"/>
      <c r="P44" s="34" t="n"/>
      <c r="Q44" s="184" t="n"/>
      <c r="R44" s="107" t="n"/>
      <c r="S44" s="108" t="n">
        <v>1200</v>
      </c>
      <c r="T44" s="34" t="n">
        <v>200</v>
      </c>
      <c r="U44" s="34" t="n">
        <v>90</v>
      </c>
      <c r="V44" s="178" t="n">
        <v>0.754</v>
      </c>
      <c r="W44" s="179" t="n"/>
      <c r="X44" s="179" t="n"/>
    </row>
    <row r="45" ht="26.25" customFormat="1" customHeight="1" s="2">
      <c r="A45" s="96" t="inlineStr">
        <is>
          <t>13</t>
        </is>
      </c>
      <c r="B45" s="97" t="inlineStr">
        <is>
          <t>EAL 250x250</t>
        </is>
      </c>
      <c r="C45" s="149" t="inlineStr">
        <is>
          <t>Nhom son tinh dien</t>
        </is>
      </c>
      <c r="D45" s="99" t="inlineStr">
        <is>
          <t>Kaiyo Viet Nam</t>
        </is>
      </c>
      <c r="E45" s="100" t="inlineStr">
        <is>
          <t>set</t>
        </is>
      </c>
      <c r="F45" s="181" t="n">
        <v>2</v>
      </c>
      <c r="G45" s="102" t="n"/>
      <c r="H45" s="102" t="n"/>
      <c r="I45" s="103" t="inlineStr">
        <is>
          <t>HỆ THỐNG THÔNG GIÓ</t>
        </is>
      </c>
      <c r="J45" s="182" t="n"/>
      <c r="K45" s="183" t="inlineStr">
        <is>
          <t>EAL 250x250</t>
        </is>
      </c>
      <c r="L45" s="105" t="inlineStr">
        <is>
          <t>c</t>
        </is>
      </c>
      <c r="M45" s="105" t="n">
        <v>250</v>
      </c>
      <c r="N45" s="105" t="n">
        <v>250</v>
      </c>
      <c r="O45" s="34" t="n"/>
      <c r="P45" s="34" t="n"/>
      <c r="Q45" s="184" t="n"/>
      <c r="R45" s="107" t="n"/>
      <c r="S45" s="108" t="n">
        <v>1200</v>
      </c>
      <c r="T45" s="34" t="n">
        <v>125</v>
      </c>
      <c r="U45" s="34" t="n">
        <v>90</v>
      </c>
      <c r="V45" s="178" t="n">
        <v>0.3927</v>
      </c>
      <c r="W45" s="179" t="n"/>
      <c r="X45" s="179" t="n"/>
    </row>
    <row r="46" ht="26.25" customFormat="1" customHeight="1" s="2">
      <c r="A46" s="96" t="inlineStr">
        <is>
          <t>14</t>
        </is>
      </c>
      <c r="B46" s="97" t="inlineStr">
        <is>
          <t>FAL 300x200</t>
        </is>
      </c>
      <c r="C46" s="149" t="inlineStr">
        <is>
          <t>Nhom son tinh dien</t>
        </is>
      </c>
      <c r="D46" s="99" t="inlineStr">
        <is>
          <t>Kaiyo Viet Nam</t>
        </is>
      </c>
      <c r="E46" s="100" t="inlineStr">
        <is>
          <t>set</t>
        </is>
      </c>
      <c r="F46" s="181" t="n">
        <v>1</v>
      </c>
      <c r="G46" s="102" t="n"/>
      <c r="H46" s="102" t="n"/>
      <c r="I46" s="103" t="inlineStr">
        <is>
          <t>HỆ THỐNG THÔNG GIÓ</t>
        </is>
      </c>
      <c r="J46" s="182" t="n"/>
      <c r="K46" s="183" t="inlineStr">
        <is>
          <t>FAL 300x200</t>
        </is>
      </c>
      <c r="L46" s="105" t="inlineStr">
        <is>
          <t>c</t>
        </is>
      </c>
      <c r="M46" s="105" t="n">
        <v>300</v>
      </c>
      <c r="N46" s="105" t="n">
        <v>200</v>
      </c>
      <c r="O46" s="34" t="n"/>
      <c r="P46" s="34" t="n"/>
      <c r="Q46" s="184" t="n"/>
      <c r="R46" s="107" t="n"/>
      <c r="S46" s="108" t="n">
        <v>1200</v>
      </c>
      <c r="T46" s="34" t="n">
        <v>150</v>
      </c>
      <c r="U46" s="34" t="n">
        <v>90</v>
      </c>
      <c r="V46" s="178" t="n">
        <v>0.4712</v>
      </c>
      <c r="W46" s="179" t="n"/>
      <c r="X46" s="179" t="n"/>
    </row>
    <row r="47" ht="26.25" customFormat="1" customHeight="1" s="2">
      <c r="A47" s="96" t="inlineStr">
        <is>
          <t>15</t>
        </is>
      </c>
      <c r="B47" s="97" t="inlineStr">
        <is>
          <t>FAL 350x200</t>
        </is>
      </c>
      <c r="C47" s="149" t="inlineStr">
        <is>
          <t>Nhom son tinh dien</t>
        </is>
      </c>
      <c r="D47" s="99" t="inlineStr">
        <is>
          <t>Kaiyo Viet Nam</t>
        </is>
      </c>
      <c r="E47" s="100" t="inlineStr">
        <is>
          <t>set</t>
        </is>
      </c>
      <c r="F47" s="181" t="n">
        <v>1</v>
      </c>
      <c r="G47" s="102" t="n"/>
      <c r="H47" s="102" t="n"/>
      <c r="I47" s="103" t="inlineStr">
        <is>
          <t>HỆ THỐNG THÔNG GIÓ</t>
        </is>
      </c>
      <c r="J47" s="182" t="n"/>
      <c r="K47" s="183" t="inlineStr">
        <is>
          <t>FAL 350x200</t>
        </is>
      </c>
      <c r="L47" s="105" t="inlineStr">
        <is>
          <t>c</t>
        </is>
      </c>
      <c r="M47" s="105" t="n">
        <v>350</v>
      </c>
      <c r="N47" s="105" t="n">
        <v>200</v>
      </c>
      <c r="O47" s="34" t="n"/>
      <c r="P47" s="34" t="n"/>
      <c r="Q47" s="184" t="n"/>
      <c r="R47" s="107" t="n"/>
      <c r="S47" s="108" t="n">
        <v>1200</v>
      </c>
      <c r="T47" s="34" t="n">
        <v>175</v>
      </c>
      <c r="U47" s="34" t="n">
        <v>90</v>
      </c>
      <c r="V47" s="178" t="n">
        <v>0.6048</v>
      </c>
      <c r="W47" s="179" t="n"/>
      <c r="X47" s="179" t="n"/>
    </row>
    <row r="48" ht="26.25" customFormat="1" customHeight="1" s="2">
      <c r="A48" s="96" t="inlineStr">
        <is>
          <t>16</t>
        </is>
      </c>
      <c r="B48" s="97" t="inlineStr">
        <is>
          <t>FAL 700x300</t>
        </is>
      </c>
      <c r="C48" s="149" t="inlineStr">
        <is>
          <t>Nhom son tinh dien</t>
        </is>
      </c>
      <c r="D48" s="99" t="inlineStr">
        <is>
          <t>Kaiyo Viet Nam</t>
        </is>
      </c>
      <c r="E48" s="100" t="inlineStr">
        <is>
          <t>set</t>
        </is>
      </c>
      <c r="F48" s="181" t="n">
        <v>1</v>
      </c>
      <c r="G48" s="102" t="n"/>
      <c r="H48" s="102" t="n"/>
      <c r="I48" s="103" t="inlineStr">
        <is>
          <t>HỆ THỐNG THÔNG GIÓ</t>
        </is>
      </c>
      <c r="J48" s="182" t="n"/>
      <c r="K48" s="183" t="inlineStr">
        <is>
          <t>FAL 700x300</t>
        </is>
      </c>
      <c r="L48" s="105" t="inlineStr">
        <is>
          <t>c</t>
        </is>
      </c>
      <c r="M48" s="105" t="n">
        <v>700</v>
      </c>
      <c r="N48" s="105" t="n">
        <v>300</v>
      </c>
      <c r="O48" s="34" t="n"/>
      <c r="P48" s="34" t="n"/>
      <c r="Q48" s="184" t="n"/>
      <c r="R48" s="107" t="n"/>
      <c r="S48" s="108" t="n">
        <v>1200</v>
      </c>
      <c r="T48" s="34" t="n">
        <v>350</v>
      </c>
      <c r="U48" s="34" t="n">
        <v>90</v>
      </c>
      <c r="V48" s="178" t="n">
        <v>2.1991</v>
      </c>
      <c r="W48" s="179" t="n"/>
      <c r="X48" s="179" t="n"/>
    </row>
    <row r="49" ht="26.25" customFormat="1" customHeight="1" s="2">
      <c r="A49" s="96" t="inlineStr">
        <is>
          <t>17</t>
        </is>
      </c>
      <c r="B49" s="97" t="inlineStr">
        <is>
          <t>VCD 300x200</t>
        </is>
      </c>
      <c r="C49" s="149" t="inlineStr">
        <is>
          <t>Thep ma kem</t>
        </is>
      </c>
      <c r="D49" s="99" t="inlineStr">
        <is>
          <t>Kaiyo Viet Nam</t>
        </is>
      </c>
      <c r="E49" s="100" t="inlineStr">
        <is>
          <t>set</t>
        </is>
      </c>
      <c r="F49" s="181" t="n">
        <v>2</v>
      </c>
      <c r="G49" s="102" t="n"/>
      <c r="H49" s="102" t="n"/>
      <c r="I49" s="103" t="inlineStr">
        <is>
          <t>HỆ THỐNG THÔNG GIÓ</t>
        </is>
      </c>
      <c r="J49" s="182" t="n"/>
      <c r="K49" s="183" t="inlineStr">
        <is>
          <t>VCD 300x200</t>
        </is>
      </c>
      <c r="L49" s="105" t="inlineStr">
        <is>
          <t>vcd</t>
        </is>
      </c>
      <c r="M49" s="105" t="n">
        <v>300</v>
      </c>
      <c r="N49" s="105" t="n">
        <v>200</v>
      </c>
      <c r="O49" s="34" t="n"/>
      <c r="P49" s="34" t="n"/>
      <c r="Q49" s="184" t="n"/>
      <c r="R49" s="107" t="n"/>
      <c r="S49" s="108" t="n">
        <v>200</v>
      </c>
      <c r="T49" s="34" t="n"/>
      <c r="U49" s="34" t="n"/>
      <c r="V49" s="178" t="n">
        <v>0.26</v>
      </c>
      <c r="W49" s="179" t="n"/>
      <c r="X49" s="179" t="n"/>
    </row>
    <row r="50" ht="17.25" customHeight="1" s="150">
      <c r="A50" s="96" t="inlineStr">
        <is>
          <t>18</t>
        </is>
      </c>
      <c r="B50" s="97" t="inlineStr">
        <is>
          <t>VCD D100</t>
        </is>
      </c>
      <c r="C50" s="149" t="inlineStr">
        <is>
          <t>Thep ma kem</t>
        </is>
      </c>
      <c r="D50" s="99" t="inlineStr">
        <is>
          <t>Kaiyo Viet Nam</t>
        </is>
      </c>
      <c r="E50" s="100" t="inlineStr">
        <is>
          <t>set</t>
        </is>
      </c>
      <c r="F50" s="181" t="n">
        <v>2</v>
      </c>
      <c r="G50" s="102" t="n"/>
      <c r="H50" s="102" t="n"/>
      <c r="I50" s="103" t="inlineStr">
        <is>
          <t>HỆ THỐNG THÔNG GIÓ</t>
        </is>
      </c>
      <c r="J50" s="182" t="n"/>
      <c r="K50" s="183" t="inlineStr">
        <is>
          <t>VCD D100</t>
        </is>
      </c>
      <c r="L50" s="105" t="inlineStr">
        <is>
          <t>vcd</t>
        </is>
      </c>
      <c r="M50" s="105" t="n">
        <v>100</v>
      </c>
      <c r="N50" s="105" t="n">
        <v>100</v>
      </c>
      <c r="O50" s="34" t="n"/>
      <c r="P50" s="34" t="n"/>
      <c r="Q50" s="184" t="n"/>
      <c r="R50" s="107" t="n"/>
      <c r="S50" s="108" t="n">
        <v>200</v>
      </c>
      <c r="T50" s="34" t="n">
        <v>100</v>
      </c>
      <c r="U50" s="34" t="n"/>
      <c r="V50" s="178" t="n">
        <v>0.0707</v>
      </c>
      <c r="W50" s="179" t="n"/>
      <c r="X50" s="179" t="n"/>
    </row>
    <row r="51" ht="15.6" customHeight="1" s="150">
      <c r="A51" s="96" t="n"/>
      <c r="B51" s="97" t="inlineStr">
        <is>
          <t>TỔNG CỘNG</t>
        </is>
      </c>
      <c r="C51" s="149" t="n"/>
      <c r="D51" s="99" t="n"/>
      <c r="E51" s="100" t="n"/>
      <c r="F51" s="181" t="inlineStr"/>
      <c r="G51" s="102" t="inlineStr"/>
      <c r="H51" s="102" t="n"/>
      <c r="I51" s="103" t="n"/>
      <c r="J51" s="182" t="n"/>
      <c r="K51" s="183" t="n"/>
      <c r="L51" s="105" t="n"/>
      <c r="M51" s="105" t="n"/>
      <c r="N51" s="105" t="n"/>
      <c r="O51" s="34" t="n"/>
      <c r="P51" s="34" t="n"/>
      <c r="Q51" s="184" t="n"/>
      <c r="R51" s="107" t="n"/>
      <c r="S51" s="108" t="n"/>
      <c r="T51" s="34" t="n"/>
      <c r="U51" s="34" t="n"/>
      <c r="V51" s="178" t="n"/>
      <c r="W51" s="179" t="n"/>
      <c r="X51" s="179" t="n"/>
    </row>
    <row r="52" ht="16.5" customHeight="1" s="150">
      <c r="A52" s="96" t="n"/>
      <c r="B52" s="97" t="inlineStr">
        <is>
          <t>VAT</t>
        </is>
      </c>
      <c r="C52" s="149" t="n"/>
      <c r="D52" s="99" t="n"/>
      <c r="E52" s="100" t="n"/>
      <c r="F52" s="181" t="n"/>
      <c r="G52" s="102" t="n"/>
      <c r="H52" s="102" t="n"/>
      <c r="I52" s="103" t="n"/>
      <c r="J52" s="182" t="n"/>
      <c r="K52" s="183" t="n"/>
      <c r="L52" s="105" t="n"/>
      <c r="M52" s="105" t="n"/>
      <c r="N52" s="105" t="n"/>
      <c r="O52" s="34" t="n"/>
      <c r="P52" s="34" t="n"/>
      <c r="Q52" s="184" t="n"/>
      <c r="R52" s="107" t="n"/>
      <c r="S52" s="108" t="n"/>
      <c r="T52" s="34" t="n"/>
      <c r="U52" s="34" t="n"/>
      <c r="V52" s="178" t="n"/>
      <c r="W52" s="179" t="n"/>
      <c r="X52" s="179" t="n"/>
    </row>
    <row r="53" ht="15.6" customHeight="1" s="150">
      <c r="A53" s="96" t="n"/>
      <c r="B53" s="97" t="inlineStr">
        <is>
          <t>TỔNG THANH TOÁN</t>
        </is>
      </c>
      <c r="C53" s="149" t="n"/>
      <c r="D53" s="99" t="n"/>
      <c r="E53" s="100" t="n"/>
      <c r="F53" s="181" t="n"/>
      <c r="G53" s="102" t="n"/>
      <c r="H53" s="102" t="n"/>
      <c r="I53" s="103" t="n"/>
      <c r="J53" s="182" t="n"/>
      <c r="K53" s="183" t="n"/>
      <c r="L53" s="105" t="n"/>
      <c r="M53" s="105" t="n"/>
      <c r="N53" s="105" t="n"/>
      <c r="O53" s="34" t="n"/>
      <c r="P53" s="34" t="n"/>
      <c r="Q53" s="184" t="n"/>
      <c r="R53" s="107" t="n"/>
      <c r="S53" s="108" t="n"/>
      <c r="T53" s="34" t="n"/>
      <c r="U53" s="34" t="n"/>
      <c r="V53" s="178" t="n"/>
      <c r="W53" s="179" t="n"/>
      <c r="X53" s="179" t="n"/>
    </row>
    <row r="54" ht="15.6" customHeight="1" s="150">
      <c r="A54" s="1" t="n"/>
      <c r="B54" s="126" t="inlineStr">
        <is>
          <t xml:space="preserve">Viết bằng chữ </t>
        </is>
      </c>
      <c r="C54" s="127" t="n"/>
      <c r="D54" s="1" t="n"/>
      <c r="E54" s="1" t="n"/>
      <c r="F54" s="128" t="n"/>
      <c r="I54" s="129" t="n"/>
    </row>
    <row r="55" ht="15.6" customHeight="1" s="150">
      <c r="A55" s="1" t="n"/>
      <c r="B55" s="126" t="inlineStr">
        <is>
          <t xml:space="preserve">Ghi chú :  </t>
        </is>
      </c>
      <c r="C55" s="127" t="n"/>
      <c r="D55" s="1" t="n"/>
      <c r="E55" s="1" t="n"/>
      <c r="F55" s="128" t="n"/>
      <c r="I55" s="129" t="n"/>
    </row>
    <row r="56" ht="15.6" customHeight="1" s="150">
      <c r="A56" s="1" t="n"/>
      <c r="B56" s="130" t="inlineStr">
        <is>
          <t>1. Hình thức hàng hóa mới 100%</t>
        </is>
      </c>
      <c r="C56" s="2" t="n"/>
      <c r="D56" s="131" t="n"/>
      <c r="E56" s="131" t="n"/>
      <c r="F56" s="185" t="n"/>
      <c r="G56" s="185" t="n"/>
      <c r="I56" s="129" t="n"/>
    </row>
    <row r="57" ht="15.6" customHeight="1" s="150">
      <c r="A57" s="1" t="n"/>
      <c r="B57" s="130" t="inlineStr">
        <is>
          <t>2. Các nhãn hàng là cố định</t>
        </is>
      </c>
      <c r="C57" s="15" t="n"/>
      <c r="D57" s="131" t="n"/>
      <c r="E57" s="131" t="n"/>
      <c r="F57" s="185" t="n"/>
      <c r="G57" s="185" t="n"/>
      <c r="I57" s="129" t="n"/>
    </row>
    <row r="58" ht="15.6" customHeight="1" s="150">
      <c r="A58" s="1" t="n"/>
      <c r="B58" s="130" t="inlineStr">
        <is>
          <t>3. Cấp đầy đủ tài liệu như catalogue, CO/CQ, chứng nhận chất lượng sản phẩm.</t>
        </is>
      </c>
      <c r="C58" s="15" t="n"/>
      <c r="D58" s="131" t="n"/>
      <c r="E58" s="186" t="n"/>
      <c r="F58" s="185" t="n"/>
      <c r="G58" s="185" t="n"/>
      <c r="I58" s="129" t="n"/>
    </row>
    <row r="59" ht="15.6" customHeight="1" s="150">
      <c r="A59" s="1" t="n"/>
      <c r="B59" s="130" t="inlineStr">
        <is>
          <t>4. Cấp đầy đủ phiếu đánh giá kiểm tra xuất xưởng.</t>
        </is>
      </c>
      <c r="C59" s="134" t="n"/>
      <c r="D59" s="131" t="n"/>
      <c r="E59" s="131" t="n"/>
      <c r="F59" s="185" t="n"/>
      <c r="G59" s="185" t="n"/>
      <c r="I59" s="129" t="n"/>
    </row>
    <row r="60" ht="15.6" customHeight="1" s="150">
      <c r="A60" s="1" t="n"/>
      <c r="B60" s="135" t="inlineStr">
        <is>
          <t xml:space="preserve">5. Đơn giá chưa bao gồm vận chuyển </t>
        </is>
      </c>
      <c r="C60" s="134" t="n"/>
      <c r="D60" s="131" t="n"/>
      <c r="E60" s="131" t="n"/>
      <c r="F60" s="185" t="n"/>
      <c r="G60" s="185" t="n"/>
      <c r="I60" s="129" t="n"/>
    </row>
    <row r="61" ht="15.6" customHeight="1" s="150">
      <c r="A61" s="1" t="n"/>
      <c r="B61" s="130" t="inlineStr">
        <is>
          <t>6. Tạm ứng 50% ngay khi đặt hàng, thanh toán 100 % sau khi báo giao hàng .</t>
        </is>
      </c>
      <c r="C61" s="136" t="n"/>
      <c r="D61" s="137" t="n"/>
      <c r="E61" s="137" t="n"/>
      <c r="F61" s="138" t="n"/>
      <c r="G61" s="138" t="n"/>
      <c r="I61" s="129" t="n"/>
    </row>
    <row r="62" ht="15.6" customHeight="1" s="150">
      <c r="A62" s="1" t="n"/>
      <c r="B62" s="139" t="inlineStr">
        <is>
          <t>7. Tài khoản công ty : 115002876407  ngân hàng TMCP công thương Việt Nam, chi nhánh Bình Xuyên, Vĩnh Phúc - PGD Hương Canh</t>
        </is>
      </c>
      <c r="C62" s="140" t="n"/>
      <c r="D62" s="141" t="n"/>
      <c r="E62" s="141" t="n"/>
      <c r="F62" s="142" t="n"/>
      <c r="G62" s="142" t="n"/>
      <c r="I62" s="129" t="n"/>
    </row>
    <row r="63" ht="15.6" customHeight="1" s="150">
      <c r="A63" s="1" t="n"/>
      <c r="B63" s="130" t="inlineStr">
        <is>
          <t>Chủ tài khoản : CÔNG TY TNHH SẢN XUẤT THƯƠNG MẠI VÀ XÂY LẮP KAIYO VIỆT NAM</t>
        </is>
      </c>
      <c r="C63" s="134" t="n"/>
      <c r="D63" s="141" t="n"/>
      <c r="E63" s="141" t="n"/>
      <c r="F63" s="142" t="n"/>
      <c r="G63" s="142" t="n"/>
      <c r="I63" s="129" t="n"/>
    </row>
    <row r="64">
      <c r="A64" s="1" t="n"/>
      <c r="B64" s="130" t="n"/>
      <c r="C64" s="134" t="n"/>
      <c r="D64" s="141" t="n"/>
      <c r="E64" s="141" t="n"/>
      <c r="F64" s="142" t="n"/>
      <c r="G64" s="142" t="n"/>
      <c r="I64" s="129" t="n"/>
    </row>
    <row r="65">
      <c r="A65" s="1" t="n"/>
      <c r="B65" s="140" t="inlineStr">
        <is>
          <t>XÁC NHẬN BÊN MUA</t>
        </is>
      </c>
      <c r="C65" s="143" t="n"/>
      <c r="D65" s="143" t="n"/>
      <c r="E65" s="140" t="n"/>
      <c r="F65" s="140" t="n"/>
      <c r="G65" s="140" t="inlineStr">
        <is>
          <t>XÁC NHẬN BÊN BÁN</t>
        </is>
      </c>
      <c r="I65" s="129" t="n"/>
    </row>
    <row r="66">
      <c r="A66" s="1" t="n"/>
      <c r="B66" s="144" t="inlineStr">
        <is>
          <t>(Ký tên, đóng dấu)</t>
        </is>
      </c>
      <c r="C66" s="143" t="n"/>
      <c r="D66" s="143" t="n"/>
      <c r="E66" s="145" t="n"/>
      <c r="F66" s="144" t="n"/>
      <c r="G66" s="144" t="inlineStr">
        <is>
          <t>(Ký tên, đóng dấu)</t>
        </is>
      </c>
      <c r="I66" s="129" t="n"/>
    </row>
    <row r="67">
      <c r="A67" s="1" t="n"/>
      <c r="B67" s="146" t="n"/>
      <c r="C67" s="143" t="n"/>
      <c r="D67" s="143" t="n"/>
      <c r="E67" s="147" t="n"/>
      <c r="F67" s="148" t="n"/>
      <c r="G67" s="148" t="n"/>
      <c r="I67" s="129" t="n"/>
    </row>
  </sheetData>
  <mergeCells count="33">
    <mergeCell ref="A15:B15"/>
    <mergeCell ref="A11:B11"/>
    <mergeCell ref="D21:D22"/>
    <mergeCell ref="A18:I18"/>
    <mergeCell ref="B46:F46"/>
    <mergeCell ref="F21:F22"/>
    <mergeCell ref="A16:B16"/>
    <mergeCell ref="W20:X20"/>
    <mergeCell ref="C21:C22"/>
    <mergeCell ref="I21:I22"/>
    <mergeCell ref="A8:I8"/>
    <mergeCell ref="B47:E47"/>
    <mergeCell ref="A21:A22"/>
    <mergeCell ref="A12:B12"/>
    <mergeCell ref="A19:I19"/>
    <mergeCell ref="C12:G12"/>
    <mergeCell ref="L20:V20"/>
    <mergeCell ref="C11:G11"/>
    <mergeCell ref="B48:E48"/>
    <mergeCell ref="A14:B14"/>
    <mergeCell ref="C10:I10"/>
    <mergeCell ref="A17:B17"/>
    <mergeCell ref="B49:F49"/>
    <mergeCell ref="C9:I9"/>
    <mergeCell ref="A20:H20"/>
    <mergeCell ref="A10:B10"/>
    <mergeCell ref="E21:E22"/>
    <mergeCell ref="A13:B13"/>
    <mergeCell ref="B45:F45"/>
    <mergeCell ref="A9:B9"/>
    <mergeCell ref="C13:G13"/>
    <mergeCell ref="B21:B22"/>
    <mergeCell ref="K20:K21"/>
  </mergeCells>
  <conditionalFormatting sqref="F56:G59">
    <cfRule type="cellIs" priority="1" operator="lessThan" dxfId="0" stopIfTrue="1">
      <formula>0.05</formula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888888888888889" defaultRowHeight="14.4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2026-07-10T13:51:46Z</dcterms:created>
  <dcterms:modified xsi:type="dcterms:W3CDTF">2026-08-26T16:25:41Z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1AE1909032CE4FF5A7F88AB76E2FB5D5_11</vt:lpwstr>
  </property>
  <property name="KSOProductBuildVer" fmtid="{D5CDD505-2E9C-101B-9397-08002B2CF9AE}" pid="3">
    <vt:lpwstr>1033-12.1.0.26880</vt:lpwstr>
  </property>
  <property name="CalculationRule" fmtid="{D5CDD505-2E9C-101B-9397-08002B2CF9AE}" pid="4">
    <vt:i4>1</vt:i4>
  </property>
</Properties>
</file>